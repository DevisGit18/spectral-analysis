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12 TRIALS" sheetId="1" r:id="rId1"/>
    <sheet name="18 TRI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<sst xmlns="http://schemas.openxmlformats.org/spreadsheetml/2006/main" count="74" uniqueCount="44">
  <si>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</si>
  <si>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</si>
  <si>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</si>
  <si>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</si>
  <si>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</si>
  <si>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</si>
  <si>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</si>
  <si>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</si>
  <si>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</si>
  <si>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</si>
  <si>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</si>
  <si>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</si>
  <si>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log C</t>
  </si>
  <si>
    <t>IO</t>
  </si>
  <si>
    <t>AVG</t>
  </si>
  <si>
    <t>ABS 1</t>
  </si>
  <si>
    <t>ABS 2</t>
  </si>
  <si>
    <t>ABS 3</t>
  </si>
  <si>
    <t>ABS 4</t>
  </si>
  <si>
    <t>ABS 5</t>
  </si>
  <si>
    <t>ABS 6</t>
  </si>
  <si>
    <t>ABS 7</t>
  </si>
  <si>
    <t>ABS 8</t>
  </si>
  <si>
    <t>ABS 9</t>
  </si>
  <si>
    <t>ABS 10</t>
  </si>
  <si>
    <t>ABS 11</t>
  </si>
  <si>
    <t>ABS 12</t>
  </si>
  <si>
    <t>AVG_ABS</t>
  </si>
  <si>
    <t>STD_DEV</t>
  </si>
  <si>
    <t>SDOM</t>
  </si>
  <si>
    <t>C</t>
  </si>
  <si>
    <t>R13</t>
  </si>
  <si>
    <t>R14</t>
  </si>
  <si>
    <t>R15</t>
  </si>
  <si>
    <t>R16</t>
  </si>
  <si>
    <t>R17</t>
  </si>
  <si>
    <t>R18</t>
  </si>
  <si>
    <t>ABS 13</t>
  </si>
  <si>
    <t>ABS 14</t>
  </si>
  <si>
    <t>ABS 15</t>
  </si>
  <si>
    <t>ABS 16</t>
  </si>
  <si>
    <t>ABS 17</t>
  </si>
  <si>
    <t>ABS 18</t>
  </si>
  <si>
    <t>0.00395450379233797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</si>
</sst>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4"/>
  <sheetViews>
    <sheetView topLeftCell="F1" workbookViewId="0">
      <selection activeCell="AH13" sqref="AH13"/>
    </sheetView>
  </sheetViews>
  <sheetFormatPr defaultColWidth="9" defaultRowHeight="14.4"/>
  <cols>
    <col min="14" max="14" width="12.8888888888889"/>
    <col min="15" max="15" width="10.6666666666667"/>
    <col min="16" max="25" width="12.8888888888889"/>
    <col min="32" max="32" width="12.8888888888889"/>
  </cols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F1" t="s">
        <v>29</v>
      </c>
    </row>
    <row r="2" spans="1:32">
      <c r="A2">
        <v>2.22</v>
      </c>
      <c r="B2">
        <v>56991</v>
      </c>
      <c r="C2">
        <v>57915</v>
      </c>
      <c r="D2">
        <v>58482</v>
      </c>
      <c r="E2">
        <v>56522</v>
      </c>
      <c r="F2">
        <v>58105</v>
      </c>
      <c r="G2">
        <v>57891</v>
      </c>
      <c r="H2">
        <v>57355</v>
      </c>
      <c r="I2">
        <v>58343</v>
      </c>
      <c r="J2">
        <v>56252</v>
      </c>
      <c r="K2">
        <v>55862</v>
      </c>
      <c r="L2">
        <v>54556</v>
      </c>
      <c r="M2">
        <v>54540</v>
      </c>
      <c r="N2">
        <v>0.346352974450639</v>
      </c>
      <c r="O2">
        <v>58884.375</v>
      </c>
      <c r="P2">
        <v>56901.1666666667</v>
      </c>
      <c r="Q2">
        <v>0.0141937923584833</v>
      </c>
      <c r="R2">
        <v>0.00720900912409919</v>
      </c>
      <c r="S2">
        <v>0.00297785335554068</v>
      </c>
      <c r="T2">
        <v>0.0177825490831409</v>
      </c>
      <c r="U2">
        <v>0.00578656428134695</v>
      </c>
      <c r="V2">
        <v>0.00738901823787399</v>
      </c>
      <c r="W2">
        <v>0.0114287857050568</v>
      </c>
      <c r="X2">
        <v>0.00401131299980975</v>
      </c>
      <c r="Y2">
        <v>0.0198621017133612</v>
      </c>
      <c r="Z2">
        <v>0.0228835893265127</v>
      </c>
      <c r="AA2">
        <v>0.0331575490940116</v>
      </c>
      <c r="AB2">
        <v>0.0332849361982185</v>
      </c>
      <c r="AC2">
        <v>0.0149972551231213</v>
      </c>
      <c r="AD2">
        <v>0.0106163242987848</v>
      </c>
      <c r="AF2">
        <f>_xlfn.STDEV.S(Q2:AB2)/SQRT(12)</f>
        <v>0.00306466884585388</v>
      </c>
    </row>
    <row r="3" spans="1:32">
      <c r="A3">
        <v>3.22</v>
      </c>
      <c r="B3">
        <v>55157</v>
      </c>
      <c r="C3">
        <v>57409</v>
      </c>
      <c r="D3">
        <v>55052</v>
      </c>
      <c r="E3">
        <v>55894</v>
      </c>
      <c r="F3">
        <v>58593</v>
      </c>
      <c r="G3">
        <v>54125</v>
      </c>
      <c r="H3">
        <v>56767</v>
      </c>
      <c r="I3">
        <v>55674</v>
      </c>
      <c r="J3">
        <v>54614</v>
      </c>
      <c r="K3">
        <v>55252</v>
      </c>
      <c r="L3">
        <v>56327</v>
      </c>
      <c r="M3">
        <v>55679</v>
      </c>
      <c r="N3">
        <v>0.507855871695831</v>
      </c>
      <c r="O3">
        <v>58884.375</v>
      </c>
      <c r="P3">
        <v>55878.5833333333</v>
      </c>
      <c r="Q3">
        <v>0.0283994330193269</v>
      </c>
      <c r="R3">
        <v>0.0110200877901441</v>
      </c>
      <c r="S3">
        <v>0.0292269685998554</v>
      </c>
      <c r="T3">
        <v>0.0226348792116067</v>
      </c>
      <c r="U3">
        <v>0.00215433506494392</v>
      </c>
      <c r="V3">
        <v>0.0366021604424077</v>
      </c>
      <c r="W3">
        <v>0.0159041263952607</v>
      </c>
      <c r="X3">
        <v>0.0243476446973445</v>
      </c>
      <c r="Y3">
        <v>0.0326960838138001</v>
      </c>
      <c r="Z3">
        <v>0.0276520666640004</v>
      </c>
      <c r="AA3">
        <v>0.0192834486615225</v>
      </c>
      <c r="AB3">
        <v>0.0243086431004235</v>
      </c>
      <c r="AC3">
        <v>0.0228524897883864</v>
      </c>
      <c r="AD3">
        <v>0.00960221879371495</v>
      </c>
      <c r="AF3">
        <f t="shared" ref="AF3:AF24" si="0">_xlfn.STDEV.S(Q3:AB3)/SQRT(12)</f>
        <v>0.00277192180268451</v>
      </c>
    </row>
    <row r="4" spans="1:32">
      <c r="A4">
        <v>7.22</v>
      </c>
      <c r="B4">
        <v>55615</v>
      </c>
      <c r="C4">
        <v>56355</v>
      </c>
      <c r="D4">
        <v>56429</v>
      </c>
      <c r="E4">
        <v>55837</v>
      </c>
      <c r="F4">
        <v>55456</v>
      </c>
      <c r="G4">
        <v>56196</v>
      </c>
      <c r="H4">
        <v>52621</v>
      </c>
      <c r="I4">
        <v>54403</v>
      </c>
      <c r="J4">
        <v>54414</v>
      </c>
      <c r="K4">
        <v>55761</v>
      </c>
      <c r="L4">
        <v>53177</v>
      </c>
      <c r="M4">
        <v>54126</v>
      </c>
      <c r="N4">
        <v>0.858537197569639</v>
      </c>
      <c r="O4">
        <v>58884.375</v>
      </c>
      <c r="P4">
        <v>55032.5</v>
      </c>
      <c r="Q4">
        <v>0.0248081282461743</v>
      </c>
      <c r="R4">
        <v>0.0190676156847637</v>
      </c>
      <c r="S4">
        <v>0.0184977157650488</v>
      </c>
      <c r="T4">
        <v>0.0230779932554445</v>
      </c>
      <c r="U4">
        <v>0.0260515287700066</v>
      </c>
      <c r="V4">
        <v>0.0202946659741248</v>
      </c>
      <c r="W4">
        <v>0.0488409727216625</v>
      </c>
      <c r="X4">
        <v>0.0343772207026729</v>
      </c>
      <c r="Y4">
        <v>0.0342894175227064</v>
      </c>
      <c r="Z4">
        <v>0.0236695161452318</v>
      </c>
      <c r="AA4">
        <v>0.0442762370000139</v>
      </c>
      <c r="AB4">
        <v>0.036594136600006</v>
      </c>
      <c r="AC4">
        <v>0.029487095698988</v>
      </c>
      <c r="AD4">
        <v>0.0100599402941452</v>
      </c>
      <c r="AF4">
        <f t="shared" si="0"/>
        <v>0.00290405461842816</v>
      </c>
    </row>
    <row r="5" spans="1:32">
      <c r="A5">
        <v>12.22</v>
      </c>
      <c r="B5">
        <v>55856</v>
      </c>
      <c r="C5">
        <v>53733</v>
      </c>
      <c r="D5">
        <v>54016</v>
      </c>
      <c r="E5">
        <v>53183</v>
      </c>
      <c r="F5">
        <v>54134</v>
      </c>
      <c r="G5">
        <v>54915</v>
      </c>
      <c r="H5">
        <v>53861</v>
      </c>
      <c r="I5">
        <v>53527</v>
      </c>
      <c r="J5">
        <v>53699</v>
      </c>
      <c r="K5">
        <v>54388</v>
      </c>
      <c r="L5">
        <v>50930</v>
      </c>
      <c r="M5">
        <v>52044</v>
      </c>
      <c r="N5">
        <v>1.08707120590654</v>
      </c>
      <c r="O5">
        <v>58884.375</v>
      </c>
      <c r="P5">
        <v>53690.5</v>
      </c>
      <c r="Q5">
        <v>0.022930238333726</v>
      </c>
      <c r="R5">
        <v>0.0397589811972798</v>
      </c>
      <c r="S5">
        <v>0.0374776491942874</v>
      </c>
      <c r="T5">
        <v>0.044227237998619</v>
      </c>
      <c r="U5">
        <v>0.0365299511970584</v>
      </c>
      <c r="V5">
        <v>0.0303090818666172</v>
      </c>
      <c r="W5">
        <v>0.0387256574076871</v>
      </c>
      <c r="X5">
        <v>0.0414271664158406</v>
      </c>
      <c r="Y5">
        <v>0.0400338716000964</v>
      </c>
      <c r="Z5">
        <v>0.0344969809267692</v>
      </c>
      <c r="AA5">
        <v>0.0630263936276514</v>
      </c>
      <c r="AB5">
        <v>0.0536294016074428</v>
      </c>
      <c r="AC5">
        <v>0.0402143842810896</v>
      </c>
      <c r="AD5">
        <v>0.0103176405182974</v>
      </c>
      <c r="AF5">
        <f t="shared" si="0"/>
        <v>0.00297844626532038</v>
      </c>
    </row>
    <row r="6" spans="1:32">
      <c r="A6">
        <v>20</v>
      </c>
      <c r="B6">
        <v>52862</v>
      </c>
      <c r="C6">
        <v>54430</v>
      </c>
      <c r="D6">
        <v>51852</v>
      </c>
      <c r="E6">
        <v>54593</v>
      </c>
      <c r="F6">
        <v>53724</v>
      </c>
      <c r="G6">
        <v>55491</v>
      </c>
      <c r="H6">
        <v>51304</v>
      </c>
      <c r="I6">
        <v>51545</v>
      </c>
      <c r="J6">
        <v>52850</v>
      </c>
      <c r="K6">
        <v>53363</v>
      </c>
      <c r="L6">
        <v>51520</v>
      </c>
      <c r="M6">
        <v>52956</v>
      </c>
      <c r="N6">
        <v>1.30102999566398</v>
      </c>
      <c r="O6">
        <v>58884.375</v>
      </c>
      <c r="P6">
        <v>53040.8333333333</v>
      </c>
      <c r="Q6">
        <v>0.0468564794430161</v>
      </c>
      <c r="R6">
        <v>0.0341617354867558</v>
      </c>
      <c r="S6">
        <v>0.0552345574449746</v>
      </c>
      <c r="T6">
        <v>0.0328631094482812</v>
      </c>
      <c r="U6">
        <v>0.0398317293727597</v>
      </c>
      <c r="V6">
        <v>0.0257775185241982</v>
      </c>
      <c r="W6">
        <v>0.0598488428946468</v>
      </c>
      <c r="X6">
        <v>0.0578135258433701</v>
      </c>
      <c r="Y6">
        <v>0.0469550781603845</v>
      </c>
      <c r="Z6">
        <v>0.0427598327255132</v>
      </c>
      <c r="AA6">
        <v>0.0580242154520739</v>
      </c>
      <c r="AB6">
        <v>0.0460848963090122</v>
      </c>
      <c r="AC6">
        <v>0.0455176267587488</v>
      </c>
      <c r="AD6">
        <v>0.0109970524389311</v>
      </c>
      <c r="AF6">
        <f t="shared" si="0"/>
        <v>0.00317457559295464</v>
      </c>
    </row>
    <row r="7" spans="1:32">
      <c r="A7">
        <v>30</v>
      </c>
      <c r="B7">
        <v>52709</v>
      </c>
      <c r="C7">
        <v>52837</v>
      </c>
      <c r="D7">
        <v>52721</v>
      </c>
      <c r="E7">
        <v>53167</v>
      </c>
      <c r="F7">
        <v>52152</v>
      </c>
      <c r="G7">
        <v>51906</v>
      </c>
      <c r="H7">
        <v>50937</v>
      </c>
      <c r="I7">
        <v>52604</v>
      </c>
      <c r="J7">
        <v>51520</v>
      </c>
      <c r="K7">
        <v>51835</v>
      </c>
      <c r="L7">
        <v>50687</v>
      </c>
      <c r="M7">
        <v>51936</v>
      </c>
      <c r="N7">
        <v>1.47712125471966</v>
      </c>
      <c r="O7">
        <v>58884.375</v>
      </c>
      <c r="P7">
        <v>52084.25</v>
      </c>
      <c r="Q7">
        <v>0.0481152929856017</v>
      </c>
      <c r="R7">
        <v>0.0470619187045047</v>
      </c>
      <c r="S7">
        <v>0.048016430540276</v>
      </c>
      <c r="T7">
        <v>0.0443579142894113</v>
      </c>
      <c r="U7">
        <v>0.052729101771699</v>
      </c>
      <c r="V7">
        <v>0.0547825074027578</v>
      </c>
      <c r="W7">
        <v>0.0629667067540199</v>
      </c>
      <c r="X7">
        <v>0.0489813007094333</v>
      </c>
      <c r="Y7">
        <v>0.0580242154520739</v>
      </c>
      <c r="Z7">
        <v>0.0553769669323455</v>
      </c>
      <c r="AA7">
        <v>0.0651034823090071</v>
      </c>
      <c r="AB7">
        <v>0.0545315716576917</v>
      </c>
      <c r="AC7">
        <v>0.0533372841257352</v>
      </c>
      <c r="AD7">
        <v>0.00643672890917872</v>
      </c>
      <c r="AF7">
        <f t="shared" si="0"/>
        <v>0.00185812358420749</v>
      </c>
    </row>
    <row r="8" spans="1:32">
      <c r="A8">
        <v>40</v>
      </c>
      <c r="B8">
        <v>48708</v>
      </c>
      <c r="C8">
        <v>48304</v>
      </c>
      <c r="D8">
        <v>49765</v>
      </c>
      <c r="E8">
        <v>49110</v>
      </c>
      <c r="F8">
        <v>49939</v>
      </c>
      <c r="G8">
        <v>49691</v>
      </c>
      <c r="H8">
        <v>51458</v>
      </c>
      <c r="I8">
        <v>50016</v>
      </c>
      <c r="J8">
        <v>49482</v>
      </c>
      <c r="K8">
        <v>51943</v>
      </c>
      <c r="L8">
        <v>49914</v>
      </c>
      <c r="M8">
        <v>50901</v>
      </c>
      <c r="N8">
        <v>1.60205999132796</v>
      </c>
      <c r="O8">
        <v>58884.375</v>
      </c>
      <c r="P8">
        <v>49935.9166666667</v>
      </c>
      <c r="Q8">
        <v>0.0823997724389193</v>
      </c>
      <c r="R8">
        <v>0.086016974124807</v>
      </c>
      <c r="S8">
        <v>0.0730760613984078</v>
      </c>
      <c r="T8">
        <v>0.0788301356722256</v>
      </c>
      <c r="U8">
        <v>0.0715602282007978</v>
      </c>
      <c r="V8">
        <v>0.0737223330681192</v>
      </c>
      <c r="W8">
        <v>0.0585471671724703</v>
      </c>
      <c r="X8">
        <v>0.0708911134647367</v>
      </c>
      <c r="Y8">
        <v>0.075552824857055</v>
      </c>
      <c r="Z8">
        <v>0.0544730408405309</v>
      </c>
      <c r="AA8">
        <v>0.0717776951226619</v>
      </c>
      <c r="AB8">
        <v>0.0632737552427917</v>
      </c>
      <c r="AC8">
        <v>0.0716767584669603</v>
      </c>
      <c r="AD8">
        <v>0.00920754369820078</v>
      </c>
      <c r="AF8">
        <f t="shared" si="0"/>
        <v>0.00265798891636573</v>
      </c>
    </row>
    <row r="9" spans="1:32">
      <c r="A9">
        <v>50</v>
      </c>
      <c r="B9">
        <v>49527</v>
      </c>
      <c r="C9">
        <v>48982</v>
      </c>
      <c r="D9">
        <v>48740</v>
      </c>
      <c r="E9">
        <v>49486</v>
      </c>
      <c r="F9">
        <v>48688</v>
      </c>
      <c r="G9">
        <v>48372</v>
      </c>
      <c r="H9">
        <v>50193</v>
      </c>
      <c r="I9">
        <v>50629</v>
      </c>
      <c r="J9">
        <v>48018</v>
      </c>
      <c r="K9">
        <v>49766</v>
      </c>
      <c r="L9">
        <v>49101</v>
      </c>
      <c r="M9">
        <v>48782</v>
      </c>
      <c r="N9">
        <v>1.69897000433602</v>
      </c>
      <c r="O9">
        <v>58884.375</v>
      </c>
      <c r="P9">
        <v>49190.3333333333</v>
      </c>
      <c r="Q9">
        <v>0.0751580475533482</v>
      </c>
      <c r="R9">
        <v>0.0799635558336163</v>
      </c>
      <c r="S9">
        <v>0.082114544955124</v>
      </c>
      <c r="T9">
        <v>0.075517719006102</v>
      </c>
      <c r="U9">
        <v>0.0825781347897377</v>
      </c>
      <c r="V9">
        <v>0.0854060256031536</v>
      </c>
      <c r="W9">
        <v>0.0693569158729436</v>
      </c>
      <c r="X9">
        <v>0.0656007203109421</v>
      </c>
      <c r="Y9">
        <v>0.0885960025262275</v>
      </c>
      <c r="Z9">
        <v>0.073067334579991</v>
      </c>
      <c r="AA9">
        <v>0.0789097326694677</v>
      </c>
      <c r="AB9">
        <v>0.081740467939319</v>
      </c>
      <c r="AC9">
        <v>0.0781674334699977</v>
      </c>
      <c r="AD9">
        <v>0.00667672879742242</v>
      </c>
      <c r="AF9">
        <f t="shared" si="0"/>
        <v>0.00192740558424898</v>
      </c>
    </row>
    <row r="10" spans="1:32">
      <c r="A10">
        <v>60</v>
      </c>
      <c r="B10">
        <v>46021</v>
      </c>
      <c r="C10">
        <v>47768</v>
      </c>
      <c r="D10">
        <v>49850</v>
      </c>
      <c r="E10">
        <v>48943</v>
      </c>
      <c r="F10">
        <v>47979</v>
      </c>
      <c r="G10">
        <v>49428</v>
      </c>
      <c r="H10">
        <v>47759</v>
      </c>
      <c r="I10">
        <v>47042</v>
      </c>
      <c r="J10">
        <v>49283</v>
      </c>
      <c r="K10">
        <v>46048</v>
      </c>
      <c r="L10">
        <v>50769</v>
      </c>
      <c r="M10">
        <v>47061</v>
      </c>
      <c r="N10">
        <v>1.77815125038364</v>
      </c>
      <c r="O10">
        <v>58884.375</v>
      </c>
      <c r="P10">
        <v>48162.5833333333</v>
      </c>
      <c r="Q10">
        <v>0.107044018492425</v>
      </c>
      <c r="R10">
        <v>0.0908630116301061</v>
      </c>
      <c r="S10">
        <v>0.072334907156155</v>
      </c>
      <c r="T10">
        <v>0.0803094835474737</v>
      </c>
      <c r="U10">
        <v>0.0889488778395407</v>
      </c>
      <c r="V10">
        <v>0.0760270317997872</v>
      </c>
      <c r="W10">
        <v>0.0909448450457623</v>
      </c>
      <c r="X10">
        <v>0.097514292226831</v>
      </c>
      <c r="Y10">
        <v>0.0773029330705581</v>
      </c>
      <c r="Z10">
        <v>0.106789297547318</v>
      </c>
      <c r="AA10">
        <v>0.064401460639111</v>
      </c>
      <c r="AB10">
        <v>0.0973389185348491</v>
      </c>
      <c r="AC10">
        <v>0.0874849231274932</v>
      </c>
      <c r="AD10">
        <v>0.0135755281531716</v>
      </c>
      <c r="AF10">
        <f t="shared" si="0"/>
        <v>0.00391891741681245</v>
      </c>
    </row>
    <row r="11" spans="1:32">
      <c r="A11">
        <v>70</v>
      </c>
      <c r="B11">
        <v>47744</v>
      </c>
      <c r="C11">
        <v>48141</v>
      </c>
      <c r="D11">
        <v>45887</v>
      </c>
      <c r="E11">
        <v>47279</v>
      </c>
      <c r="F11">
        <v>47551</v>
      </c>
      <c r="G11">
        <v>45462</v>
      </c>
      <c r="H11">
        <v>47481</v>
      </c>
      <c r="I11">
        <v>46763</v>
      </c>
      <c r="J11">
        <v>46326</v>
      </c>
      <c r="K11">
        <v>46914</v>
      </c>
      <c r="L11">
        <v>49093</v>
      </c>
      <c r="M11">
        <v>46940</v>
      </c>
      <c r="N11">
        <v>1.84509804001426</v>
      </c>
      <c r="O11">
        <v>58884.375</v>
      </c>
      <c r="P11">
        <v>47131.75</v>
      </c>
      <c r="Q11">
        <v>0.0910812683472735</v>
      </c>
      <c r="R11">
        <v>0.0874849624694877</v>
      </c>
      <c r="S11">
        <v>0.108310404482993</v>
      </c>
      <c r="T11">
        <v>0.0953317876132609</v>
      </c>
      <c r="U11">
        <v>0.0928404151988457</v>
      </c>
      <c r="V11">
        <v>0.112351532170757</v>
      </c>
      <c r="W11">
        <v>0.0934802127245505</v>
      </c>
      <c r="X11">
        <v>0.100097705003234</v>
      </c>
      <c r="Y11">
        <v>0.104175266965739</v>
      </c>
      <c r="Z11">
        <v>0.0986976062903201</v>
      </c>
      <c r="AA11">
        <v>0.0789804978050751</v>
      </c>
      <c r="AB11">
        <v>0.0984569845412558</v>
      </c>
      <c r="AC11">
        <v>0.0967740536343994</v>
      </c>
      <c r="AD11">
        <v>0.00910449856594815</v>
      </c>
      <c r="AF11">
        <f t="shared" si="0"/>
        <v>0.00262824234894335</v>
      </c>
    </row>
    <row r="12" spans="1:32">
      <c r="A12">
        <v>80</v>
      </c>
      <c r="B12">
        <v>46998</v>
      </c>
      <c r="C12">
        <v>46283</v>
      </c>
      <c r="D12">
        <v>46899</v>
      </c>
      <c r="E12">
        <v>46512</v>
      </c>
      <c r="F12">
        <v>47973</v>
      </c>
      <c r="G12">
        <v>46600</v>
      </c>
      <c r="H12">
        <v>47316</v>
      </c>
      <c r="I12">
        <v>47981</v>
      </c>
      <c r="J12">
        <v>46019</v>
      </c>
      <c r="K12">
        <v>46258</v>
      </c>
      <c r="L12">
        <v>47015</v>
      </c>
      <c r="M12">
        <v>45949</v>
      </c>
      <c r="N12">
        <v>1.90308998699194</v>
      </c>
      <c r="O12">
        <v>58884.375</v>
      </c>
      <c r="P12">
        <v>46816.9166666667</v>
      </c>
      <c r="Q12">
        <v>0.0979206928775791</v>
      </c>
      <c r="R12">
        <v>0.104578568244531</v>
      </c>
      <c r="S12">
        <v>0.0988364871977436</v>
      </c>
      <c r="T12">
        <v>0.102435055377477</v>
      </c>
      <c r="U12">
        <v>0.089003191806833</v>
      </c>
      <c r="V12">
        <v>0.101614153113829</v>
      </c>
      <c r="W12">
        <v>0.0949920466829815</v>
      </c>
      <c r="X12">
        <v>0.0889307746931478</v>
      </c>
      <c r="Y12">
        <v>0.107062892655049</v>
      </c>
      <c r="Z12">
        <v>0.104813218017318</v>
      </c>
      <c r="AA12">
        <v>0.0977636293592821</v>
      </c>
      <c r="AB12">
        <v>0.107724005642259</v>
      </c>
      <c r="AC12">
        <v>0.0996395596390026</v>
      </c>
      <c r="AD12">
        <v>0.00632359807057745</v>
      </c>
      <c r="AF12">
        <f t="shared" si="0"/>
        <v>0.00182546552414744</v>
      </c>
    </row>
    <row r="13" spans="1:32">
      <c r="A13">
        <v>90</v>
      </c>
      <c r="B13">
        <v>49663</v>
      </c>
      <c r="C13">
        <v>49394</v>
      </c>
      <c r="D13">
        <v>44813</v>
      </c>
      <c r="E13">
        <v>47413</v>
      </c>
      <c r="F13">
        <v>47478</v>
      </c>
      <c r="G13">
        <v>46949</v>
      </c>
      <c r="H13">
        <v>48788</v>
      </c>
      <c r="I13">
        <v>44164</v>
      </c>
      <c r="J13">
        <v>43876</v>
      </c>
      <c r="K13">
        <v>45637</v>
      </c>
      <c r="L13">
        <v>44877</v>
      </c>
      <c r="M13">
        <v>44829</v>
      </c>
      <c r="N13">
        <v>1.95424250943932</v>
      </c>
      <c r="O13">
        <v>58884.375</v>
      </c>
      <c r="P13">
        <v>46490.0833333333</v>
      </c>
      <c r="Q13">
        <v>0.0739671193035043</v>
      </c>
      <c r="R13">
        <v>0.0763258724014212</v>
      </c>
      <c r="S13">
        <v>0.118596051134391</v>
      </c>
      <c r="T13">
        <v>0.0941026341595058</v>
      </c>
      <c r="U13">
        <v>0.0935076536926766</v>
      </c>
      <c r="V13">
        <v>0.0983737234489212</v>
      </c>
      <c r="W13">
        <v>0.0816870546587061</v>
      </c>
      <c r="X13">
        <v>0.124931668595916</v>
      </c>
      <c r="Y13">
        <v>0.12777304199302</v>
      </c>
      <c r="Z13">
        <v>0.110682981960107</v>
      </c>
      <c r="AA13">
        <v>0.117976252905841</v>
      </c>
      <c r="AB13">
        <v>0.118441018632121</v>
      </c>
      <c r="AC13">
        <v>0.103030422740511</v>
      </c>
      <c r="AD13">
        <v>0.0192093677350932</v>
      </c>
      <c r="AF13">
        <f t="shared" si="0"/>
        <v>0.00554526681640928</v>
      </c>
    </row>
    <row r="14" spans="1:32">
      <c r="A14">
        <v>100</v>
      </c>
      <c r="B14">
        <v>46293</v>
      </c>
      <c r="C14">
        <v>47498</v>
      </c>
      <c r="D14">
        <v>46725</v>
      </c>
      <c r="E14">
        <v>46514</v>
      </c>
      <c r="F14">
        <v>45876</v>
      </c>
      <c r="G14">
        <v>46124</v>
      </c>
      <c r="H14">
        <v>46519</v>
      </c>
      <c r="I14">
        <v>44714</v>
      </c>
      <c r="J14">
        <v>43762</v>
      </c>
      <c r="K14">
        <v>43304</v>
      </c>
      <c r="L14">
        <v>43891</v>
      </c>
      <c r="M14">
        <v>44038</v>
      </c>
      <c r="N14">
        <v>2</v>
      </c>
      <c r="O14">
        <v>58884.375</v>
      </c>
      <c r="P14">
        <v>45438.1666666667</v>
      </c>
      <c r="Q14">
        <v>0.104484743822739</v>
      </c>
      <c r="R14">
        <v>0.0933247466473925</v>
      </c>
      <c r="S14">
        <v>0.10045075975296</v>
      </c>
      <c r="T14">
        <v>0.102416381265639</v>
      </c>
      <c r="U14">
        <v>0.108414525737177</v>
      </c>
      <c r="V14">
        <v>0.106073106337304</v>
      </c>
      <c r="W14">
        <v>0.102369699498704</v>
      </c>
      <c r="X14">
        <v>0.119556547325117</v>
      </c>
      <c r="Y14">
        <v>0.128902908006895</v>
      </c>
      <c r="Z14">
        <v>0.133472055720825</v>
      </c>
      <c r="AA14">
        <v>0.127624594004779</v>
      </c>
      <c r="AB14">
        <v>0.126172482680481</v>
      </c>
      <c r="AC14">
        <v>0.112771879233334</v>
      </c>
      <c r="AD14">
        <v>0.0135274057158854</v>
      </c>
      <c r="AF14">
        <f t="shared" si="0"/>
        <v>0.00390502566575189</v>
      </c>
    </row>
    <row r="15" spans="1:32">
      <c r="A15">
        <v>110</v>
      </c>
      <c r="B15">
        <v>44539</v>
      </c>
      <c r="C15">
        <v>46420</v>
      </c>
      <c r="D15">
        <v>45163</v>
      </c>
      <c r="E15">
        <v>44510</v>
      </c>
      <c r="F15">
        <v>43474</v>
      </c>
      <c r="G15">
        <v>43915</v>
      </c>
      <c r="H15">
        <v>45585</v>
      </c>
      <c r="I15">
        <v>42755</v>
      </c>
      <c r="J15">
        <v>44242</v>
      </c>
      <c r="K15">
        <v>45229</v>
      </c>
      <c r="L15">
        <v>44984</v>
      </c>
      <c r="M15">
        <v>45055</v>
      </c>
      <c r="N15">
        <v>2.04139268515822</v>
      </c>
      <c r="O15">
        <v>58884.375</v>
      </c>
      <c r="P15">
        <v>44655.9166666667</v>
      </c>
      <c r="Q15">
        <v>0.121259607877191</v>
      </c>
      <c r="R15">
        <v>0.103294933683931</v>
      </c>
      <c r="S15">
        <v>0.11521728712282</v>
      </c>
      <c r="T15">
        <v>0.121542475521307</v>
      </c>
      <c r="U15">
        <v>0.131770468766267</v>
      </c>
      <c r="V15">
        <v>0.127387182715682</v>
      </c>
      <c r="W15">
        <v>0.111178110668205</v>
      </c>
      <c r="X15">
        <v>0.139013159033609</v>
      </c>
      <c r="Y15">
        <v>0.124165318384881</v>
      </c>
      <c r="Z15">
        <v>0.114583084076105</v>
      </c>
      <c r="AA15">
        <v>0.116941999302483</v>
      </c>
      <c r="AB15">
        <v>0.116257075778094</v>
      </c>
      <c r="AC15">
        <v>0.120217558577548</v>
      </c>
      <c r="AD15">
        <v>0.00957185980624821</v>
      </c>
      <c r="AF15">
        <f t="shared" si="0"/>
        <v>0.00276315791789135</v>
      </c>
    </row>
    <row r="16" spans="1:32">
      <c r="A16">
        <v>120</v>
      </c>
      <c r="B16">
        <v>43148</v>
      </c>
      <c r="C16">
        <v>46280</v>
      </c>
      <c r="D16">
        <v>45287</v>
      </c>
      <c r="E16">
        <v>44305</v>
      </c>
      <c r="F16">
        <v>44361</v>
      </c>
      <c r="G16">
        <v>43041</v>
      </c>
      <c r="H16">
        <v>46006</v>
      </c>
      <c r="I16">
        <v>39216</v>
      </c>
      <c r="J16">
        <v>45796</v>
      </c>
      <c r="K16">
        <v>46988</v>
      </c>
      <c r="L16">
        <v>42960</v>
      </c>
      <c r="M16">
        <v>43866</v>
      </c>
      <c r="N16">
        <v>2.07918124604762</v>
      </c>
      <c r="O16">
        <v>58884.375</v>
      </c>
      <c r="P16">
        <v>44271.1666666667</v>
      </c>
      <c r="Q16">
        <v>0.135039399743191</v>
      </c>
      <c r="R16">
        <v>0.104606719524118</v>
      </c>
      <c r="S16">
        <v>0.114026517648118</v>
      </c>
      <c r="T16">
        <v>0.123547328910892</v>
      </c>
      <c r="U16">
        <v>0.122998742209781</v>
      </c>
      <c r="V16">
        <v>0.136117716777543</v>
      </c>
      <c r="W16">
        <v>0.107185594709976</v>
      </c>
      <c r="X16">
        <v>0.176536775895827</v>
      </c>
      <c r="Y16">
        <v>0.109172523105448</v>
      </c>
      <c r="Z16">
        <v>0.0980131097233948</v>
      </c>
      <c r="AA16">
        <v>0.13693579711233</v>
      </c>
      <c r="AB16">
        <v>0.127872035515799</v>
      </c>
      <c r="AC16">
        <v>0.124337688406368</v>
      </c>
      <c r="AD16">
        <v>0.0210290993220204</v>
      </c>
      <c r="AF16">
        <f t="shared" si="0"/>
        <v>0.00607057807719193</v>
      </c>
    </row>
    <row r="17" spans="1:32">
      <c r="A17">
        <v>130</v>
      </c>
      <c r="B17">
        <v>45299</v>
      </c>
      <c r="C17">
        <v>42903</v>
      </c>
      <c r="D17">
        <v>43258</v>
      </c>
      <c r="E17">
        <v>44778</v>
      </c>
      <c r="F17">
        <v>44117</v>
      </c>
      <c r="G17">
        <v>44612</v>
      </c>
      <c r="H17">
        <v>46529</v>
      </c>
      <c r="I17">
        <v>45714</v>
      </c>
      <c r="J17">
        <v>47077</v>
      </c>
      <c r="K17">
        <v>41394</v>
      </c>
      <c r="L17">
        <v>45733</v>
      </c>
      <c r="M17">
        <v>47719</v>
      </c>
      <c r="N17">
        <v>2.11394335230684</v>
      </c>
      <c r="O17">
        <v>58884.375</v>
      </c>
      <c r="P17">
        <v>44927.75</v>
      </c>
      <c r="Q17">
        <v>0.113911454971472</v>
      </c>
      <c r="R17">
        <v>0.137512408437463</v>
      </c>
      <c r="S17">
        <v>0.133933633504334</v>
      </c>
      <c r="T17">
        <v>0.118935377799791</v>
      </c>
      <c r="U17">
        <v>0.125394097489516</v>
      </c>
      <c r="V17">
        <v>0.120548376275424</v>
      </c>
      <c r="W17">
        <v>0.102276351015432</v>
      </c>
      <c r="X17">
        <v>0.109950845847175</v>
      </c>
      <c r="Y17">
        <v>0.0971912903341785</v>
      </c>
      <c r="Z17">
        <v>0.153062674473591</v>
      </c>
      <c r="AA17">
        <v>0.109770378575971</v>
      </c>
      <c r="AB17">
        <v>0.0913087357911165</v>
      </c>
      <c r="AC17">
        <v>0.117816302042955</v>
      </c>
      <c r="AD17">
        <v>0.0177547270653777</v>
      </c>
      <c r="AF17">
        <f t="shared" si="0"/>
        <v>0.00512534822529205</v>
      </c>
    </row>
    <row r="18" spans="1:32">
      <c r="A18">
        <v>140</v>
      </c>
      <c r="B18">
        <v>42918</v>
      </c>
      <c r="C18">
        <v>45182</v>
      </c>
      <c r="D18">
        <v>44440</v>
      </c>
      <c r="E18">
        <v>42889</v>
      </c>
      <c r="F18">
        <v>44320</v>
      </c>
      <c r="G18">
        <v>43768</v>
      </c>
      <c r="H18">
        <v>43002</v>
      </c>
      <c r="I18">
        <v>42517</v>
      </c>
      <c r="J18">
        <v>44178</v>
      </c>
      <c r="K18">
        <v>42962</v>
      </c>
      <c r="L18">
        <v>44469</v>
      </c>
      <c r="M18">
        <v>41113</v>
      </c>
      <c r="N18">
        <v>2.14612803567824</v>
      </c>
      <c r="O18">
        <v>58884.375</v>
      </c>
      <c r="P18">
        <v>43479.8333333333</v>
      </c>
      <c r="Q18">
        <v>0.137360594375756</v>
      </c>
      <c r="R18">
        <v>0.115034618568328</v>
      </c>
      <c r="S18">
        <v>0.122226019535</v>
      </c>
      <c r="T18">
        <v>0.137654149457619</v>
      </c>
      <c r="U18">
        <v>0.123400318083456</v>
      </c>
      <c r="V18">
        <v>0.128843368034417</v>
      </c>
      <c r="W18">
        <v>0.136511414950646</v>
      </c>
      <c r="X18">
        <v>0.141437456695053</v>
      </c>
      <c r="Y18">
        <v>0.124794018943484</v>
      </c>
      <c r="Z18">
        <v>0.136915579031653</v>
      </c>
      <c r="AA18">
        <v>0.121942706475088</v>
      </c>
      <c r="AB18">
        <v>0.15602090156376</v>
      </c>
      <c r="AC18">
        <v>0.131845095476188</v>
      </c>
      <c r="AD18">
        <v>0.0112466219082159</v>
      </c>
      <c r="AF18">
        <f t="shared" si="0"/>
        <v>0.00324662009309122</v>
      </c>
    </row>
    <row r="19" spans="1:32">
      <c r="A19">
        <v>150</v>
      </c>
      <c r="B19">
        <v>43327</v>
      </c>
      <c r="C19">
        <v>42977</v>
      </c>
      <c r="D19">
        <v>43169</v>
      </c>
      <c r="E19">
        <v>43345</v>
      </c>
      <c r="F19">
        <v>43776</v>
      </c>
      <c r="G19">
        <v>41089</v>
      </c>
      <c r="H19">
        <v>43008</v>
      </c>
      <c r="I19">
        <v>42960</v>
      </c>
      <c r="J19">
        <v>42641</v>
      </c>
      <c r="K19">
        <v>41793</v>
      </c>
      <c r="L19">
        <v>40964</v>
      </c>
      <c r="M19">
        <v>42332</v>
      </c>
      <c r="N19">
        <v>2.17609125905568</v>
      </c>
      <c r="O19">
        <v>58884.375</v>
      </c>
      <c r="P19">
        <v>42615.0833333333</v>
      </c>
      <c r="Q19">
        <v>0.133241450664471</v>
      </c>
      <c r="R19">
        <v>0.13676397342082</v>
      </c>
      <c r="S19">
        <v>0.134828081363268</v>
      </c>
      <c r="T19">
        <v>0.133061062516358</v>
      </c>
      <c r="U19">
        <v>0.128763994099826</v>
      </c>
      <c r="V19">
        <v>0.156274498017905</v>
      </c>
      <c r="W19">
        <v>0.136450822766117</v>
      </c>
      <c r="X19">
        <v>0.13693579711233</v>
      </c>
      <c r="Y19">
        <v>0.14017268876211</v>
      </c>
      <c r="Z19">
        <v>0.14889652286019</v>
      </c>
      <c r="AA19">
        <v>0.157597712336299</v>
      </c>
      <c r="AB19">
        <v>0.143331282349309</v>
      </c>
      <c r="AC19">
        <v>0.140526490522417</v>
      </c>
      <c r="AD19">
        <v>0.00924794385185028</v>
      </c>
      <c r="AF19">
        <f t="shared" si="0"/>
        <v>0.00266965143615813</v>
      </c>
    </row>
    <row r="20" spans="1:32">
      <c r="A20">
        <v>160</v>
      </c>
      <c r="B20">
        <v>44515</v>
      </c>
      <c r="C20">
        <v>43205</v>
      </c>
      <c r="D20">
        <v>44666</v>
      </c>
      <c r="E20">
        <v>42866</v>
      </c>
      <c r="F20">
        <v>42550</v>
      </c>
      <c r="G20">
        <v>43205</v>
      </c>
      <c r="H20">
        <v>41545</v>
      </c>
      <c r="I20">
        <v>43945</v>
      </c>
      <c r="J20">
        <v>41117</v>
      </c>
      <c r="K20">
        <v>45337</v>
      </c>
      <c r="L20">
        <v>42909</v>
      </c>
      <c r="M20">
        <v>43879</v>
      </c>
      <c r="N20">
        <v>2.20411998265592</v>
      </c>
      <c r="O20">
        <v>58884.375</v>
      </c>
      <c r="P20">
        <v>43311.5833333333</v>
      </c>
      <c r="Q20">
        <v>0.121493692091668</v>
      </c>
      <c r="R20">
        <v>0.134466060332545</v>
      </c>
      <c r="S20">
        <v>0.120023008214251</v>
      </c>
      <c r="T20">
        <v>0.13788711017882</v>
      </c>
      <c r="U20">
        <v>0.141100505383223</v>
      </c>
      <c r="V20">
        <v>0.134466060332545</v>
      </c>
      <c r="W20">
        <v>0.151481306498963</v>
      </c>
      <c r="X20">
        <v>0.127090600995594</v>
      </c>
      <c r="Y20">
        <v>0.155978649881187</v>
      </c>
      <c r="Z20">
        <v>0.1135472908142</v>
      </c>
      <c r="AA20">
        <v>0.137451676444369</v>
      </c>
      <c r="AB20">
        <v>0.127743348335765</v>
      </c>
      <c r="AC20">
        <v>0.133560775791927</v>
      </c>
      <c r="AD20">
        <v>0.0125088341299611</v>
      </c>
      <c r="AF20">
        <f t="shared" si="0"/>
        <v>0.00361098937609073</v>
      </c>
    </row>
    <row r="21" spans="1:32">
      <c r="A21">
        <v>170</v>
      </c>
      <c r="B21">
        <v>43640</v>
      </c>
      <c r="C21">
        <v>41937</v>
      </c>
      <c r="D21">
        <v>43352</v>
      </c>
      <c r="E21">
        <v>43214</v>
      </c>
      <c r="F21">
        <v>41664</v>
      </c>
      <c r="G21">
        <v>43662</v>
      </c>
      <c r="H21">
        <v>44072</v>
      </c>
      <c r="I21">
        <v>43033</v>
      </c>
      <c r="J21">
        <v>42402</v>
      </c>
      <c r="K21">
        <v>42898</v>
      </c>
      <c r="L21">
        <v>42027</v>
      </c>
      <c r="M21">
        <v>43290</v>
      </c>
      <c r="N21">
        <v>2.23044892137827</v>
      </c>
      <c r="O21">
        <v>58884.375</v>
      </c>
      <c r="P21">
        <v>42932.5833333333</v>
      </c>
      <c r="Q21">
        <v>0.130115327887525</v>
      </c>
      <c r="R21">
        <v>0.147402710199208</v>
      </c>
      <c r="S21">
        <v>0.132990931799495</v>
      </c>
      <c r="T21">
        <v>0.134375602207566</v>
      </c>
      <c r="U21">
        <v>0.15023910725175</v>
      </c>
      <c r="V21">
        <v>0.129896444498734</v>
      </c>
      <c r="W21">
        <v>0.125837310438565</v>
      </c>
      <c r="X21">
        <v>0.136198446286227</v>
      </c>
      <c r="Y21">
        <v>0.142613728105463</v>
      </c>
      <c r="Z21">
        <v>0.137563024920067</v>
      </c>
      <c r="AA21">
        <v>0.146471679797114</v>
      </c>
      <c r="AB21">
        <v>0.133612483990673</v>
      </c>
      <c r="AC21">
        <v>0.137276399781866</v>
      </c>
      <c r="AD21">
        <v>0.00775570130760345</v>
      </c>
      <c r="AF21">
        <f t="shared" si="0"/>
        <v>0.00223887811884958</v>
      </c>
    </row>
    <row r="22" spans="1:32">
      <c r="A22">
        <v>180</v>
      </c>
      <c r="B22">
        <v>41885</v>
      </c>
      <c r="C22">
        <v>42704</v>
      </c>
      <c r="D22">
        <v>42813</v>
      </c>
      <c r="E22">
        <v>42284</v>
      </c>
      <c r="F22">
        <v>41815</v>
      </c>
      <c r="G22">
        <v>42165</v>
      </c>
      <c r="H22">
        <v>42561</v>
      </c>
      <c r="I22">
        <v>40404</v>
      </c>
      <c r="J22">
        <v>41230</v>
      </c>
      <c r="K22">
        <v>41329</v>
      </c>
      <c r="L22">
        <v>41393</v>
      </c>
      <c r="M22">
        <v>41652</v>
      </c>
      <c r="N22">
        <v>2.25527250510331</v>
      </c>
      <c r="O22">
        <v>58884.375</v>
      </c>
      <c r="P22">
        <v>41852.9166666667</v>
      </c>
      <c r="Q22">
        <v>0.147941550025412</v>
      </c>
      <c r="R22">
        <v>0.139531513360397</v>
      </c>
      <c r="S22">
        <v>0.138424408944603</v>
      </c>
      <c r="T22">
        <v>0.143824005649097</v>
      </c>
      <c r="U22">
        <v>0.148667968683021</v>
      </c>
      <c r="V22">
        <v>0.145047965140708</v>
      </c>
      <c r="W22">
        <v>0.140988246349078</v>
      </c>
      <c r="X22">
        <v>0.163575707368116</v>
      </c>
      <c r="Y22">
        <v>0.154786735002471</v>
      </c>
      <c r="Z22">
        <v>0.153745172621226</v>
      </c>
      <c r="AA22">
        <v>0.15307316632574</v>
      </c>
      <c r="AB22">
        <v>0.150364210084793</v>
      </c>
      <c r="AC22">
        <v>0.148330887462888</v>
      </c>
      <c r="AD22">
        <v>0.00732900244155776</v>
      </c>
      <c r="AF22">
        <f t="shared" si="0"/>
        <v>0.0021157007662624</v>
      </c>
    </row>
    <row r="23" spans="1:32">
      <c r="A23">
        <v>190</v>
      </c>
      <c r="B23">
        <v>46736</v>
      </c>
      <c r="C23">
        <v>41872</v>
      </c>
      <c r="D23">
        <v>44451</v>
      </c>
      <c r="E23">
        <v>43467</v>
      </c>
      <c r="F23">
        <v>47006</v>
      </c>
      <c r="G23">
        <v>45569</v>
      </c>
      <c r="H23">
        <v>41792</v>
      </c>
      <c r="I23">
        <v>41731</v>
      </c>
      <c r="J23">
        <v>39956</v>
      </c>
      <c r="K23">
        <v>41140</v>
      </c>
      <c r="L23">
        <v>43141</v>
      </c>
      <c r="M23">
        <v>41703</v>
      </c>
      <c r="N23">
        <v>2.27875360095283</v>
      </c>
      <c r="O23">
        <v>58884.375</v>
      </c>
      <c r="P23">
        <v>43213.6666666667</v>
      </c>
      <c r="Q23">
        <v>0.100348530174355</v>
      </c>
      <c r="R23">
        <v>0.148076364508024</v>
      </c>
      <c r="S23">
        <v>0.122118534202956</v>
      </c>
      <c r="T23">
        <v>0.131840402661205</v>
      </c>
      <c r="U23">
        <v>0.0978467735578987</v>
      </c>
      <c r="V23">
        <v>0.111330571597661</v>
      </c>
      <c r="W23">
        <v>0.148906914544868</v>
      </c>
      <c r="X23">
        <v>0.149541277968268</v>
      </c>
      <c r="Y23">
        <v>0.168418065346963</v>
      </c>
      <c r="Z23">
        <v>0.155735782445124</v>
      </c>
      <c r="AA23">
        <v>0.135109862058897</v>
      </c>
      <c r="AB23">
        <v>0.149832771746579</v>
      </c>
      <c r="AC23">
        <v>0.134925487567734</v>
      </c>
      <c r="AD23">
        <v>0.0226831582027904</v>
      </c>
      <c r="AF23">
        <f t="shared" si="0"/>
        <v>0.00654806374722595</v>
      </c>
    </row>
    <row r="24" spans="1:32">
      <c r="A24">
        <v>200</v>
      </c>
      <c r="B24">
        <v>43756</v>
      </c>
      <c r="C24">
        <v>43521</v>
      </c>
      <c r="D24">
        <v>42980</v>
      </c>
      <c r="E24">
        <v>41964</v>
      </c>
      <c r="F24">
        <v>43536</v>
      </c>
      <c r="G24">
        <v>43500</v>
      </c>
      <c r="H24">
        <v>41257</v>
      </c>
      <c r="I24">
        <v>42297</v>
      </c>
      <c r="J24">
        <v>42450</v>
      </c>
      <c r="K24">
        <v>41931</v>
      </c>
      <c r="L24">
        <v>40083</v>
      </c>
      <c r="M24">
        <v>39989</v>
      </c>
      <c r="N24">
        <v>2.30102999566398</v>
      </c>
      <c r="O24">
        <v>58884.375</v>
      </c>
      <c r="P24">
        <v>42272</v>
      </c>
      <c r="Q24">
        <v>0.128962456143175</v>
      </c>
      <c r="R24">
        <v>0.131301204035296</v>
      </c>
      <c r="S24">
        <v>0.136733658648405</v>
      </c>
      <c r="T24">
        <v>0.14712319144696</v>
      </c>
      <c r="U24">
        <v>0.131151545368147</v>
      </c>
      <c r="V24">
        <v>0.131510812849192</v>
      </c>
      <c r="W24">
        <v>0.154502424712846</v>
      </c>
      <c r="X24">
        <v>0.143690504548159</v>
      </c>
      <c r="Y24">
        <v>0.142122375223858</v>
      </c>
      <c r="Z24">
        <v>0.147464849916284</v>
      </c>
      <c r="AA24">
        <v>0.167039851089163</v>
      </c>
      <c r="AB24">
        <v>0.168059525883162</v>
      </c>
      <c r="AC24">
        <v>0.144138533322054</v>
      </c>
      <c r="AD24">
        <v>0.0135055421820741</v>
      </c>
      <c r="AF24">
        <f t="shared" si="0"/>
        <v>0.00389871420718621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4"/>
  <sheetViews>
    <sheetView tabSelected="1" topLeftCell="O1" workbookViewId="0">
      <selection activeCell="AB7" sqref="AB7"/>
    </sheetView>
  </sheetViews>
  <sheetFormatPr defaultColWidth="9" defaultRowHeight="14.4"/>
  <cols>
    <col min="1" max="41" width="9" style="1"/>
    <col min="42" max="42" width="12.8888888888889" style="1"/>
    <col min="43" max="43" width="9" style="1"/>
    <col min="44" max="44" width="12.8888888888889" style="1"/>
    <col min="45" max="16384" width="9" style="1"/>
  </cols>
  <sheetData>
    <row r="1" s="1" customFormat="1" spans="1:44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27</v>
      </c>
      <c r="AP1" s="1" t="s">
        <v>28</v>
      </c>
      <c r="AR1" s="1" t="s">
        <v>29</v>
      </c>
    </row>
    <row r="2" s="1" customFormat="1" spans="1:44">
      <c r="A2" s="1">
        <v>2.22</v>
      </c>
      <c r="B2" s="1">
        <v>58151</v>
      </c>
      <c r="C2" s="1">
        <v>57341</v>
      </c>
      <c r="D2" s="1">
        <v>59423</v>
      </c>
      <c r="E2" s="1">
        <v>57071</v>
      </c>
      <c r="F2" s="1">
        <v>57543</v>
      </c>
      <c r="G2" s="1">
        <v>57220</v>
      </c>
      <c r="H2" s="1">
        <v>57355</v>
      </c>
      <c r="I2" s="1">
        <v>58343</v>
      </c>
      <c r="J2" s="1">
        <v>56252</v>
      </c>
      <c r="K2" s="1">
        <v>55862</v>
      </c>
      <c r="L2" s="1">
        <v>54556</v>
      </c>
      <c r="M2" s="1">
        <v>54540</v>
      </c>
      <c r="N2" s="1">
        <v>56991</v>
      </c>
      <c r="O2" s="1">
        <v>57915</v>
      </c>
      <c r="P2" s="1">
        <v>58482</v>
      </c>
      <c r="Q2" s="1">
        <v>56522</v>
      </c>
      <c r="R2" s="1">
        <v>58105</v>
      </c>
      <c r="S2" s="1">
        <v>57891</v>
      </c>
      <c r="T2" s="1">
        <v>0.346352974450639</v>
      </c>
      <c r="U2" s="1">
        <v>58884.375</v>
      </c>
      <c r="V2" s="1">
        <v>57197.9444444445</v>
      </c>
      <c r="W2" s="1">
        <v>0.00544288228282435</v>
      </c>
      <c r="X2" s="1">
        <v>0.0115348072363542</v>
      </c>
      <c r="Y2" s="2" t="s">
        <v>43</v>
      </c>
      <c r="Z2" s="1">
        <v>0.0135845874655422</v>
      </c>
      <c r="AA2" s="1">
        <v>0.0100075697489617</v>
      </c>
      <c r="AB2" s="1">
        <v>0.0124522163345858</v>
      </c>
      <c r="AC2" s="1">
        <v>0.0114287857050568</v>
      </c>
      <c r="AD2" s="1">
        <v>0.00401131299980975</v>
      </c>
      <c r="AE2" s="1">
        <v>0.0198621017133612</v>
      </c>
      <c r="AF2" s="1">
        <v>0.0228835893265127</v>
      </c>
      <c r="AG2" s="1">
        <v>0.0331575490940116</v>
      </c>
      <c r="AH2" s="1">
        <v>0.0332849361982185</v>
      </c>
      <c r="AI2" s="1">
        <v>0.0141937923584833</v>
      </c>
      <c r="AJ2" s="1">
        <v>0.00720900912409919</v>
      </c>
      <c r="AK2" s="1">
        <v>0.00297785335554068</v>
      </c>
      <c r="AL2" s="1">
        <v>0.0177825490831409</v>
      </c>
      <c r="AM2" s="1">
        <v>0.00578656428134695</v>
      </c>
      <c r="AN2" s="1">
        <v>0.00738901823787399</v>
      </c>
      <c r="AO2" s="1">
        <v>0.0127241455974103</v>
      </c>
      <c r="AP2" s="1">
        <f>STDEV(W2:AO2)</f>
        <v>0.00890784583147005</v>
      </c>
      <c r="AR2" s="1">
        <f>_xlfn.STDEV.S(W2:AN2)/SQRT(18)</f>
        <v>0.00216348814833557</v>
      </c>
    </row>
    <row r="3" s="1" customFormat="1" spans="1:44">
      <c r="A3" s="1">
        <v>3.22</v>
      </c>
      <c r="B3" s="1">
        <v>57468</v>
      </c>
      <c r="C3" s="1">
        <v>55104</v>
      </c>
      <c r="D3" s="1">
        <v>55328</v>
      </c>
      <c r="E3" s="1">
        <v>56077</v>
      </c>
      <c r="F3" s="1">
        <v>57942</v>
      </c>
      <c r="G3" s="1">
        <v>57362</v>
      </c>
      <c r="H3" s="1">
        <v>56767</v>
      </c>
      <c r="I3" s="1">
        <v>55674</v>
      </c>
      <c r="J3" s="1">
        <v>54614</v>
      </c>
      <c r="K3" s="1">
        <v>55252</v>
      </c>
      <c r="L3" s="1">
        <v>56327</v>
      </c>
      <c r="M3" s="1">
        <v>55679</v>
      </c>
      <c r="N3" s="1">
        <v>55157</v>
      </c>
      <c r="O3" s="1">
        <v>57409</v>
      </c>
      <c r="P3" s="1">
        <v>55052</v>
      </c>
      <c r="Q3" s="1">
        <v>55894</v>
      </c>
      <c r="R3" s="1">
        <v>58593</v>
      </c>
      <c r="S3" s="1">
        <v>54125</v>
      </c>
      <c r="T3" s="1">
        <v>0.507855871695831</v>
      </c>
      <c r="U3" s="1">
        <v>58884.375</v>
      </c>
      <c r="V3" s="1">
        <v>56101.3333333333</v>
      </c>
      <c r="W3" s="1">
        <v>0.010573986713597</v>
      </c>
      <c r="X3" s="1">
        <v>0.0288169443662876</v>
      </c>
      <c r="Y3" s="1">
        <v>0.0270550982100011</v>
      </c>
      <c r="Z3" s="1">
        <v>0.0212152980530703</v>
      </c>
      <c r="AA3" s="1">
        <v>0.00700658801490997</v>
      </c>
      <c r="AB3" s="1">
        <v>0.0113757846437129</v>
      </c>
      <c r="AC3" s="1">
        <v>0.0159041263952607</v>
      </c>
      <c r="AD3" s="1">
        <v>0.0243476446973445</v>
      </c>
      <c r="AE3" s="1">
        <v>0.0326960838138001</v>
      </c>
      <c r="AF3" s="1">
        <v>0.0276520666640004</v>
      </c>
      <c r="AG3" s="1">
        <v>0.0192834486615225</v>
      </c>
      <c r="AH3" s="1">
        <v>0.0243086431004235</v>
      </c>
      <c r="AI3" s="1">
        <v>0.0283994330193269</v>
      </c>
      <c r="AJ3" s="1">
        <v>0.0110200877901441</v>
      </c>
      <c r="AK3" s="1">
        <v>0.0292269685998554</v>
      </c>
      <c r="AL3" s="1">
        <v>0.0226348792116067</v>
      </c>
      <c r="AM3" s="1">
        <v>0.00215433506494392</v>
      </c>
      <c r="AN3" s="1">
        <v>0.0366021604424077</v>
      </c>
      <c r="AO3" s="1">
        <v>0.021126309859012</v>
      </c>
      <c r="AP3" s="1">
        <v>0.00954888397913063</v>
      </c>
      <c r="AR3" s="1">
        <f t="shared" ref="AR3:AR24" si="0">_xlfn.STDEV.S(W3:AN3)/SQRT(18)</f>
        <v>0.00225069353813562</v>
      </c>
    </row>
    <row r="4" s="1" customFormat="1" spans="1:44">
      <c r="A4" s="1">
        <v>7.22</v>
      </c>
      <c r="B4" s="1">
        <v>54271</v>
      </c>
      <c r="C4" s="1">
        <v>55659</v>
      </c>
      <c r="D4" s="1">
        <v>55425</v>
      </c>
      <c r="E4" s="1">
        <v>57509</v>
      </c>
      <c r="F4" s="1">
        <v>54351</v>
      </c>
      <c r="G4" s="1">
        <v>57152</v>
      </c>
      <c r="H4" s="1">
        <v>52621</v>
      </c>
      <c r="I4" s="1">
        <v>54403</v>
      </c>
      <c r="J4" s="1">
        <v>54414</v>
      </c>
      <c r="K4" s="1">
        <v>55761</v>
      </c>
      <c r="L4" s="1">
        <v>53177</v>
      </c>
      <c r="M4" s="1">
        <v>54126</v>
      </c>
      <c r="N4" s="1">
        <v>55615</v>
      </c>
      <c r="O4" s="1">
        <v>56355</v>
      </c>
      <c r="P4" s="1">
        <v>56429</v>
      </c>
      <c r="Q4" s="1">
        <v>55837</v>
      </c>
      <c r="R4" s="1">
        <v>55456</v>
      </c>
      <c r="S4" s="1">
        <v>56196</v>
      </c>
      <c r="T4" s="1">
        <v>0.858537197569639</v>
      </c>
      <c r="U4" s="1">
        <v>58884.375</v>
      </c>
      <c r="V4" s="1">
        <v>55264.2777777778</v>
      </c>
      <c r="W4" s="1">
        <v>0.0354322458200653</v>
      </c>
      <c r="X4" s="1">
        <v>0.0244646705076247</v>
      </c>
      <c r="Y4" s="1">
        <v>0.0262943680173037</v>
      </c>
      <c r="Z4" s="1">
        <v>0.0102642539059439</v>
      </c>
      <c r="AA4" s="1">
        <v>0.0347925307561877</v>
      </c>
      <c r="AB4" s="1">
        <v>0.0129686369313959</v>
      </c>
      <c r="AC4" s="1">
        <v>0.0488409727216625</v>
      </c>
      <c r="AD4" s="1">
        <v>0.0343772207026729</v>
      </c>
      <c r="AE4" s="1">
        <v>0.0342894175227064</v>
      </c>
      <c r="AF4" s="1">
        <v>0.0236695161452318</v>
      </c>
      <c r="AG4" s="1">
        <v>0.0442762370000139</v>
      </c>
      <c r="AH4" s="1">
        <v>0.036594136600006</v>
      </c>
      <c r="AI4" s="1">
        <v>0.0248081282461743</v>
      </c>
      <c r="AJ4" s="1">
        <v>0.0190676156847637</v>
      </c>
      <c r="AK4" s="1">
        <v>0.0184977157650488</v>
      </c>
      <c r="AL4" s="1">
        <v>0.0230779932554445</v>
      </c>
      <c r="AM4" s="1">
        <v>0.0260515287700066</v>
      </c>
      <c r="AN4" s="1">
        <v>0.0202946659741248</v>
      </c>
      <c r="AO4" s="1">
        <v>0.0276701030181321</v>
      </c>
      <c r="AP4" s="1">
        <v>0.0102758652285369</v>
      </c>
      <c r="AR4" s="1">
        <f t="shared" si="0"/>
        <v>0.00242204466188583</v>
      </c>
    </row>
    <row r="5" s="1" customFormat="1" spans="1:44">
      <c r="A5" s="1">
        <v>12.22</v>
      </c>
      <c r="B5" s="1">
        <v>55837</v>
      </c>
      <c r="C5" s="1">
        <v>54210</v>
      </c>
      <c r="D5" s="1">
        <v>55724</v>
      </c>
      <c r="E5" s="1">
        <v>53830</v>
      </c>
      <c r="F5" s="1">
        <v>55884</v>
      </c>
      <c r="G5" s="1">
        <v>55551</v>
      </c>
      <c r="H5" s="1">
        <v>53861</v>
      </c>
      <c r="I5" s="1">
        <v>53527</v>
      </c>
      <c r="J5" s="1">
        <v>53699</v>
      </c>
      <c r="K5" s="1">
        <v>54388</v>
      </c>
      <c r="L5" s="1">
        <v>50930</v>
      </c>
      <c r="M5" s="1">
        <v>52044</v>
      </c>
      <c r="N5" s="1">
        <v>55856</v>
      </c>
      <c r="O5" s="1">
        <v>53733</v>
      </c>
      <c r="P5" s="1">
        <v>54016</v>
      </c>
      <c r="Q5" s="1">
        <v>53183</v>
      </c>
      <c r="R5" s="1">
        <v>54134</v>
      </c>
      <c r="S5" s="1">
        <v>54915</v>
      </c>
      <c r="T5" s="1">
        <v>1.08707120590654</v>
      </c>
      <c r="U5" s="1">
        <v>58884.375</v>
      </c>
      <c r="V5" s="1">
        <v>54184.5555555555</v>
      </c>
      <c r="W5" s="1">
        <v>0.0230779932554445</v>
      </c>
      <c r="X5" s="1">
        <v>0.0359206625232353</v>
      </c>
      <c r="Y5" s="1">
        <v>0.02395778625189</v>
      </c>
      <c r="Z5" s="1">
        <v>0.0389756899881417</v>
      </c>
      <c r="AA5" s="1">
        <v>0.0227125858234734</v>
      </c>
      <c r="AB5" s="1">
        <v>0.0253081885148295</v>
      </c>
      <c r="AC5" s="1">
        <v>0.0387256574076871</v>
      </c>
      <c r="AD5" s="1">
        <v>0.0414271664158406</v>
      </c>
      <c r="AE5" s="1">
        <v>0.0400338716000964</v>
      </c>
      <c r="AF5" s="1">
        <v>0.0344969809267692</v>
      </c>
      <c r="AG5" s="1">
        <v>0.0630263936276514</v>
      </c>
      <c r="AH5" s="1">
        <v>0.0536294016074428</v>
      </c>
      <c r="AI5" s="1">
        <v>0.022930238333726</v>
      </c>
      <c r="AJ5" s="1">
        <v>0.0397589811972798</v>
      </c>
      <c r="AK5" s="1">
        <v>0.0374776491942874</v>
      </c>
      <c r="AL5" s="1">
        <v>0.044227237998619</v>
      </c>
      <c r="AM5" s="1">
        <v>0.0365299511970584</v>
      </c>
      <c r="AN5" s="1">
        <v>0.0303090818666172</v>
      </c>
      <c r="AO5" s="1">
        <v>0.0362514176516716</v>
      </c>
      <c r="AP5" s="1">
        <v>0.0108321683013041</v>
      </c>
      <c r="AR5" s="1">
        <f t="shared" si="0"/>
        <v>0.00255316655360202</v>
      </c>
    </row>
    <row r="6" s="1" customFormat="1" spans="1:44">
      <c r="A6" s="1">
        <v>20</v>
      </c>
      <c r="B6" s="1">
        <v>53537</v>
      </c>
      <c r="C6" s="1">
        <v>52820</v>
      </c>
      <c r="D6" s="1">
        <v>53896</v>
      </c>
      <c r="E6" s="1">
        <v>54321</v>
      </c>
      <c r="F6" s="1">
        <v>55413</v>
      </c>
      <c r="G6" s="1">
        <v>55525</v>
      </c>
      <c r="H6" s="1">
        <v>51304</v>
      </c>
      <c r="I6" s="1">
        <v>51545</v>
      </c>
      <c r="J6" s="1">
        <v>52850</v>
      </c>
      <c r="K6" s="1">
        <v>53363</v>
      </c>
      <c r="L6" s="1">
        <v>51520</v>
      </c>
      <c r="M6" s="1">
        <v>52956</v>
      </c>
      <c r="N6" s="1">
        <v>52862</v>
      </c>
      <c r="O6" s="1">
        <v>54430</v>
      </c>
      <c r="P6" s="1">
        <v>51852</v>
      </c>
      <c r="Q6" s="1">
        <v>54593</v>
      </c>
      <c r="R6" s="1">
        <v>53724</v>
      </c>
      <c r="S6" s="1">
        <v>55491</v>
      </c>
      <c r="T6" s="1">
        <v>1.30102999566398</v>
      </c>
      <c r="U6" s="1">
        <v>58884.375</v>
      </c>
      <c r="V6" s="1">
        <v>53444.5555555555</v>
      </c>
      <c r="W6" s="1">
        <v>0.0413460384020981</v>
      </c>
      <c r="X6" s="1">
        <v>0.0472016729329243</v>
      </c>
      <c r="Y6" s="1">
        <v>0.0384435354592076</v>
      </c>
      <c r="Z6" s="1">
        <v>0.0350323134930117</v>
      </c>
      <c r="AA6" s="1">
        <v>0.026388406773023</v>
      </c>
      <c r="AB6" s="1">
        <v>0.025511502583318</v>
      </c>
      <c r="AC6" s="1">
        <v>0.0598488428946468</v>
      </c>
      <c r="AD6" s="1">
        <v>0.0578135258433701</v>
      </c>
      <c r="AE6" s="1">
        <v>0.0469550781603845</v>
      </c>
      <c r="AF6" s="1">
        <v>0.0427598327255132</v>
      </c>
      <c r="AG6" s="1">
        <v>0.0580242154520739</v>
      </c>
      <c r="AH6" s="1">
        <v>0.0460848963090122</v>
      </c>
      <c r="AI6" s="1">
        <v>0.0468564794430161</v>
      </c>
      <c r="AJ6" s="1">
        <v>0.0341617354867558</v>
      </c>
      <c r="AK6" s="1">
        <v>0.0552345574449746</v>
      </c>
      <c r="AL6" s="1">
        <v>0.0328631094482812</v>
      </c>
      <c r="AM6" s="1">
        <v>0.0398317293727597</v>
      </c>
      <c r="AN6" s="1">
        <v>0.0257775185241982</v>
      </c>
      <c r="AO6" s="1">
        <v>0.0422297217082538</v>
      </c>
      <c r="AP6" s="1">
        <v>0.0110668976930552</v>
      </c>
      <c r="AR6" s="1">
        <f t="shared" si="0"/>
        <v>0.00260849280181904</v>
      </c>
    </row>
    <row r="7" s="1" customFormat="1" spans="1:44">
      <c r="A7" s="1">
        <v>30</v>
      </c>
      <c r="B7" s="1">
        <v>54070</v>
      </c>
      <c r="C7" s="1">
        <v>54312</v>
      </c>
      <c r="D7" s="1">
        <v>51578</v>
      </c>
      <c r="E7" s="1">
        <v>53128</v>
      </c>
      <c r="F7" s="1">
        <v>53445</v>
      </c>
      <c r="G7" s="1">
        <v>51703</v>
      </c>
      <c r="H7" s="1">
        <v>50937</v>
      </c>
      <c r="I7" s="1">
        <v>52604</v>
      </c>
      <c r="J7" s="1">
        <v>51520</v>
      </c>
      <c r="K7" s="1">
        <v>51835</v>
      </c>
      <c r="L7" s="1">
        <v>50687</v>
      </c>
      <c r="M7" s="1">
        <v>51936</v>
      </c>
      <c r="N7" s="1">
        <v>52709</v>
      </c>
      <c r="O7" s="1">
        <v>52837</v>
      </c>
      <c r="P7" s="1">
        <v>52721</v>
      </c>
      <c r="Q7" s="1">
        <v>53167</v>
      </c>
      <c r="R7" s="1">
        <v>52152</v>
      </c>
      <c r="S7" s="1">
        <v>51906</v>
      </c>
      <c r="T7" s="1">
        <v>1.47712125471966</v>
      </c>
      <c r="U7" s="1">
        <v>58884.375</v>
      </c>
      <c r="V7" s="1">
        <v>52402.6111111111</v>
      </c>
      <c r="W7" s="1">
        <v>0.0370437002282049</v>
      </c>
      <c r="X7" s="1">
        <v>0.035104274137495</v>
      </c>
      <c r="Y7" s="1">
        <v>0.0575355719748439</v>
      </c>
      <c r="Z7" s="1">
        <v>0.0446766025730419</v>
      </c>
      <c r="AA7" s="1">
        <v>0.0420929883971327</v>
      </c>
      <c r="AB7" s="1">
        <v>0.0564843266006818</v>
      </c>
      <c r="AC7" s="1">
        <v>0.0629667067540199</v>
      </c>
      <c r="AD7" s="1">
        <v>0.0489813007094333</v>
      </c>
      <c r="AE7" s="1">
        <v>0.0580242154520739</v>
      </c>
      <c r="AF7" s="1">
        <v>0.0553769669323455</v>
      </c>
      <c r="AG7" s="1">
        <v>0.0651034823090071</v>
      </c>
      <c r="AH7" s="1">
        <v>0.0545315716576917</v>
      </c>
      <c r="AI7" s="1">
        <v>0.0481152929856017</v>
      </c>
      <c r="AJ7" s="1">
        <v>0.0470619187045047</v>
      </c>
      <c r="AK7" s="1">
        <v>0.048016430540276</v>
      </c>
      <c r="AL7" s="1">
        <v>0.0443579142894113</v>
      </c>
      <c r="AM7" s="1">
        <v>0.052729101771699</v>
      </c>
      <c r="AN7" s="1">
        <v>0.0547825074027578</v>
      </c>
      <c r="AO7" s="1">
        <v>0.050721381856679</v>
      </c>
      <c r="AP7" s="1">
        <v>0.00825857088954512</v>
      </c>
      <c r="AR7" s="1">
        <f t="shared" si="0"/>
        <v>0.00194656382630239</v>
      </c>
    </row>
    <row r="8" s="1" customFormat="1" spans="1:44">
      <c r="A8" s="1">
        <v>40</v>
      </c>
      <c r="B8" s="1">
        <v>53901</v>
      </c>
      <c r="C8" s="1">
        <v>52034</v>
      </c>
      <c r="D8" s="1">
        <v>52457</v>
      </c>
      <c r="E8" s="1">
        <v>52117</v>
      </c>
      <c r="F8" s="1">
        <v>53910</v>
      </c>
      <c r="G8" s="1">
        <v>52357</v>
      </c>
      <c r="H8" s="1">
        <v>51458</v>
      </c>
      <c r="I8" s="1">
        <v>50016</v>
      </c>
      <c r="J8" s="1">
        <v>49482</v>
      </c>
      <c r="K8" s="1">
        <v>51943</v>
      </c>
      <c r="L8" s="1">
        <v>49914</v>
      </c>
      <c r="M8" s="1">
        <v>50901</v>
      </c>
      <c r="N8" s="1">
        <v>48708</v>
      </c>
      <c r="O8" s="1">
        <v>48304</v>
      </c>
      <c r="P8" s="1">
        <v>49765</v>
      </c>
      <c r="Q8" s="1">
        <v>49110</v>
      </c>
      <c r="R8" s="1">
        <v>49939</v>
      </c>
      <c r="S8" s="1">
        <v>49691</v>
      </c>
      <c r="T8" s="1">
        <v>1.60205999132796</v>
      </c>
      <c r="U8" s="1">
        <v>58884.375</v>
      </c>
      <c r="V8" s="1">
        <v>50889.2777777778</v>
      </c>
      <c r="W8" s="1">
        <v>0.0384032472802959</v>
      </c>
      <c r="X8" s="1">
        <v>0.053712857185613</v>
      </c>
      <c r="Y8" s="1">
        <v>0.0501966200096693</v>
      </c>
      <c r="Z8" s="1">
        <v>0.0530206612464712</v>
      </c>
      <c r="AA8" s="1">
        <v>0.0383307379751933</v>
      </c>
      <c r="AB8" s="1">
        <v>0.0510253158206787</v>
      </c>
      <c r="AC8" s="1">
        <v>0.0585471671724703</v>
      </c>
      <c r="AD8" s="1">
        <v>0.0708911134647367</v>
      </c>
      <c r="AE8" s="1">
        <v>0.075552824857055</v>
      </c>
      <c r="AF8" s="1">
        <v>0.0544730408405309</v>
      </c>
      <c r="AG8" s="1">
        <v>0.0717776951226619</v>
      </c>
      <c r="AH8" s="1">
        <v>0.0632737552427917</v>
      </c>
      <c r="AI8" s="1">
        <v>0.0823997724389193</v>
      </c>
      <c r="AJ8" s="1">
        <v>0.086016974124807</v>
      </c>
      <c r="AK8" s="1">
        <v>0.0730760613984078</v>
      </c>
      <c r="AL8" s="1">
        <v>0.0788301356722256</v>
      </c>
      <c r="AM8" s="1">
        <v>0.0715602282007978</v>
      </c>
      <c r="AN8" s="1">
        <v>0.0737223330681192</v>
      </c>
      <c r="AO8" s="1">
        <v>0.063600585617858</v>
      </c>
      <c r="AP8" s="1">
        <v>0.0144226925406835</v>
      </c>
      <c r="AR8" s="1">
        <f t="shared" si="0"/>
        <v>0.00339946123282864</v>
      </c>
    </row>
    <row r="9" s="1" customFormat="1" spans="1:44">
      <c r="A9" s="1">
        <v>50</v>
      </c>
      <c r="B9" s="1">
        <v>52409</v>
      </c>
      <c r="C9" s="1">
        <v>49572</v>
      </c>
      <c r="D9" s="1">
        <v>51538</v>
      </c>
      <c r="E9" s="1">
        <v>52832</v>
      </c>
      <c r="F9" s="1">
        <v>52389</v>
      </c>
      <c r="G9" s="1">
        <v>51324</v>
      </c>
      <c r="H9" s="1">
        <v>50193</v>
      </c>
      <c r="I9" s="1">
        <v>50629</v>
      </c>
      <c r="J9" s="1">
        <v>48018</v>
      </c>
      <c r="K9" s="1">
        <v>49766</v>
      </c>
      <c r="L9" s="1">
        <v>49101</v>
      </c>
      <c r="M9" s="1">
        <v>48782</v>
      </c>
      <c r="N9" s="1">
        <v>49527</v>
      </c>
      <c r="O9" s="1">
        <v>48982</v>
      </c>
      <c r="P9" s="1">
        <v>48740</v>
      </c>
      <c r="Q9" s="1">
        <v>49486</v>
      </c>
      <c r="R9" s="1">
        <v>48688</v>
      </c>
      <c r="S9" s="1">
        <v>48372</v>
      </c>
      <c r="T9" s="1">
        <v>1.69897000433602</v>
      </c>
      <c r="U9" s="1">
        <v>58884.375</v>
      </c>
      <c r="V9" s="1">
        <v>50019.3333333333</v>
      </c>
      <c r="W9" s="1">
        <v>0.0505941966615338</v>
      </c>
      <c r="X9" s="1">
        <v>0.0747636287796186</v>
      </c>
      <c r="Y9" s="1">
        <v>0.0578725086315699</v>
      </c>
      <c r="Z9" s="1">
        <v>0.0471030182211299</v>
      </c>
      <c r="AA9" s="1">
        <v>0.0507599610796241</v>
      </c>
      <c r="AB9" s="1">
        <v>0.0596795734993937</v>
      </c>
      <c r="AC9" s="1">
        <v>0.0693569158729436</v>
      </c>
      <c r="AD9" s="1">
        <v>0.0656007203109421</v>
      </c>
      <c r="AE9" s="1">
        <v>0.0885960025262275</v>
      </c>
      <c r="AF9" s="1">
        <v>0.073067334579991</v>
      </c>
      <c r="AG9" s="1">
        <v>0.0789097326694677</v>
      </c>
      <c r="AH9" s="1">
        <v>0.081740467939319</v>
      </c>
      <c r="AI9" s="1">
        <v>0.0751580475533482</v>
      </c>
      <c r="AJ9" s="1">
        <v>0.0799635558336163</v>
      </c>
      <c r="AK9" s="1">
        <v>0.082114544955124</v>
      </c>
      <c r="AL9" s="1">
        <v>0.075517719006102</v>
      </c>
      <c r="AM9" s="1">
        <v>0.0825781347897377</v>
      </c>
      <c r="AN9" s="1">
        <v>0.0854060256031536</v>
      </c>
      <c r="AO9" s="1">
        <v>0.0710434493618246</v>
      </c>
      <c r="AP9" s="1">
        <v>0.0128762589150223</v>
      </c>
      <c r="AR9" s="1">
        <f t="shared" si="0"/>
        <v>0.00303496333170866</v>
      </c>
    </row>
    <row r="10" s="1" customFormat="1" spans="1:44">
      <c r="A10" s="1">
        <v>60</v>
      </c>
      <c r="B10" s="1">
        <v>51180</v>
      </c>
      <c r="C10" s="1">
        <v>51091</v>
      </c>
      <c r="D10" s="1">
        <v>49781</v>
      </c>
      <c r="E10" s="1">
        <v>50986</v>
      </c>
      <c r="F10" s="1">
        <v>48661</v>
      </c>
      <c r="G10" s="1">
        <v>50428</v>
      </c>
      <c r="H10" s="1">
        <v>47759</v>
      </c>
      <c r="I10" s="1">
        <v>47042</v>
      </c>
      <c r="J10" s="1">
        <v>49283</v>
      </c>
      <c r="K10" s="1">
        <v>46048</v>
      </c>
      <c r="L10" s="1">
        <v>50769</v>
      </c>
      <c r="M10" s="1">
        <v>47061</v>
      </c>
      <c r="N10" s="1">
        <v>46021</v>
      </c>
      <c r="O10" s="1">
        <v>47768</v>
      </c>
      <c r="P10" s="1">
        <v>49850</v>
      </c>
      <c r="Q10" s="1">
        <v>48943</v>
      </c>
      <c r="R10" s="1">
        <v>47979</v>
      </c>
      <c r="S10" s="1">
        <v>49428</v>
      </c>
      <c r="T10" s="1">
        <v>1.77815125038364</v>
      </c>
      <c r="U10" s="1">
        <v>58884.375</v>
      </c>
      <c r="V10" s="1">
        <v>48893.2222222222</v>
      </c>
      <c r="W10" s="1">
        <v>0.0608997882526629</v>
      </c>
      <c r="X10" s="1">
        <v>0.061655666627699</v>
      </c>
      <c r="Y10" s="1">
        <v>0.0729364533424278</v>
      </c>
      <c r="Z10" s="1">
        <v>0.0625491281652276</v>
      </c>
      <c r="AA10" s="1">
        <v>0.0828190402189061</v>
      </c>
      <c r="AB10" s="1">
        <v>0.067328325642077</v>
      </c>
      <c r="AC10" s="1">
        <v>0.0909448450457623</v>
      </c>
      <c r="AD10" s="1">
        <v>0.097514292226831</v>
      </c>
      <c r="AE10" s="1">
        <v>0.0773029330705581</v>
      </c>
      <c r="AF10" s="1">
        <v>0.106789297547318</v>
      </c>
      <c r="AG10" s="1">
        <v>0.064401460639111</v>
      </c>
      <c r="AH10" s="1">
        <v>0.0973389185348491</v>
      </c>
      <c r="AI10" s="1">
        <v>0.107044018492425</v>
      </c>
      <c r="AJ10" s="1">
        <v>0.0908630116301061</v>
      </c>
      <c r="AK10" s="1">
        <v>0.072334907156155</v>
      </c>
      <c r="AL10" s="1">
        <v>0.0803094835474737</v>
      </c>
      <c r="AM10" s="1">
        <v>0.0889488778395407</v>
      </c>
      <c r="AN10" s="1">
        <v>0.0760270317997872</v>
      </c>
      <c r="AO10" s="1">
        <v>0.0810004155432732</v>
      </c>
      <c r="AP10" s="1">
        <v>0.0151575959072254</v>
      </c>
      <c r="AR10" s="1">
        <f t="shared" si="0"/>
        <v>0.00357267961749484</v>
      </c>
    </row>
    <row r="11" s="1" customFormat="1" spans="1:44">
      <c r="A11" s="1">
        <v>70</v>
      </c>
      <c r="B11" s="1">
        <v>49779</v>
      </c>
      <c r="C11" s="1">
        <v>49219</v>
      </c>
      <c r="D11" s="1">
        <v>50334</v>
      </c>
      <c r="E11" s="1">
        <v>50549</v>
      </c>
      <c r="F11" s="1">
        <v>48792</v>
      </c>
      <c r="G11" s="1">
        <v>51077</v>
      </c>
      <c r="H11" s="1">
        <v>47481</v>
      </c>
      <c r="I11" s="1">
        <v>46763</v>
      </c>
      <c r="J11" s="1">
        <v>46326</v>
      </c>
      <c r="K11" s="1">
        <v>46914</v>
      </c>
      <c r="L11" s="1">
        <v>49093</v>
      </c>
      <c r="M11" s="1">
        <v>46940</v>
      </c>
      <c r="N11" s="1">
        <v>47744</v>
      </c>
      <c r="O11" s="1">
        <v>48141</v>
      </c>
      <c r="P11" s="1">
        <v>45887</v>
      </c>
      <c r="Q11" s="1">
        <v>47279</v>
      </c>
      <c r="R11" s="1">
        <v>47551</v>
      </c>
      <c r="S11" s="1">
        <v>45462</v>
      </c>
      <c r="T11" s="1">
        <v>1.84509804001426</v>
      </c>
      <c r="U11" s="1">
        <v>58884.375</v>
      </c>
      <c r="V11" s="1">
        <v>48073.9444444445</v>
      </c>
      <c r="W11" s="1">
        <v>0.0729539018953391</v>
      </c>
      <c r="X11" s="1">
        <v>0.077867284063493</v>
      </c>
      <c r="Y11" s="1">
        <v>0.0681386250236231</v>
      </c>
      <c r="Z11" s="1">
        <v>0.0662875013461994</v>
      </c>
      <c r="AA11" s="1">
        <v>0.081651449454185</v>
      </c>
      <c r="AB11" s="1">
        <v>0.0617746886851867</v>
      </c>
      <c r="AC11" s="1">
        <v>0.0934802127245505</v>
      </c>
      <c r="AD11" s="1">
        <v>0.100097705003234</v>
      </c>
      <c r="AE11" s="1">
        <v>0.104175266965739</v>
      </c>
      <c r="AF11" s="1">
        <v>0.0986976062903201</v>
      </c>
      <c r="AG11" s="1">
        <v>0.0789804978050751</v>
      </c>
      <c r="AH11" s="1">
        <v>0.0984569845412558</v>
      </c>
      <c r="AI11" s="1">
        <v>0.0910812683472735</v>
      </c>
      <c r="AJ11" s="1">
        <v>0.0874849624694877</v>
      </c>
      <c r="AK11" s="1">
        <v>0.108310404482993</v>
      </c>
      <c r="AL11" s="1">
        <v>0.0953317876132609</v>
      </c>
      <c r="AM11" s="1">
        <v>0.0928404151988457</v>
      </c>
      <c r="AN11" s="1">
        <v>0.112351532170757</v>
      </c>
      <c r="AO11" s="1">
        <v>0.0883312274489344</v>
      </c>
      <c r="AP11" s="1">
        <v>0.014865433837895</v>
      </c>
      <c r="AR11" s="1">
        <f t="shared" si="0"/>
        <v>0.00350381635735185</v>
      </c>
    </row>
    <row r="12" s="1" customFormat="1" spans="1:44">
      <c r="A12" s="1">
        <v>80</v>
      </c>
      <c r="B12" s="1">
        <v>50470</v>
      </c>
      <c r="C12" s="1">
        <v>50918</v>
      </c>
      <c r="D12" s="1">
        <v>49185</v>
      </c>
      <c r="E12" s="1">
        <v>51851</v>
      </c>
      <c r="F12" s="1">
        <v>48162</v>
      </c>
      <c r="G12" s="1">
        <v>49894</v>
      </c>
      <c r="H12" s="1">
        <v>47316</v>
      </c>
      <c r="I12" s="1">
        <v>47981</v>
      </c>
      <c r="J12" s="1">
        <v>46019</v>
      </c>
      <c r="K12" s="1">
        <v>46258</v>
      </c>
      <c r="L12" s="1">
        <v>47015</v>
      </c>
      <c r="M12" s="1">
        <v>45949</v>
      </c>
      <c r="N12" s="1">
        <v>46998</v>
      </c>
      <c r="O12" s="1">
        <v>46283</v>
      </c>
      <c r="P12" s="1">
        <v>46899</v>
      </c>
      <c r="Q12" s="1">
        <v>46512</v>
      </c>
      <c r="R12" s="1">
        <v>47973</v>
      </c>
      <c r="S12" s="1">
        <v>46600</v>
      </c>
      <c r="T12" s="1">
        <v>1.90308998699194</v>
      </c>
      <c r="U12" s="1">
        <v>58884.375</v>
      </c>
      <c r="V12" s="1">
        <v>47904.6111111111</v>
      </c>
      <c r="W12" s="1">
        <v>0.0669667650701437</v>
      </c>
      <c r="X12" s="1">
        <v>0.0631287330708796</v>
      </c>
      <c r="Y12" s="1">
        <v>0.0781673940787831</v>
      </c>
      <c r="Z12" s="1">
        <v>0.0552429331811041</v>
      </c>
      <c r="AA12" s="1">
        <v>0.0872955564434131</v>
      </c>
      <c r="AB12" s="1">
        <v>0.0719517470975401</v>
      </c>
      <c r="AC12" s="1">
        <v>0.0949920466829815</v>
      </c>
      <c r="AD12" s="1">
        <v>0.0889307746931478</v>
      </c>
      <c r="AE12" s="1">
        <v>0.107062892655049</v>
      </c>
      <c r="AF12" s="1">
        <v>0.104813218017318</v>
      </c>
      <c r="AG12" s="1">
        <v>0.0977636293592821</v>
      </c>
      <c r="AH12" s="1">
        <v>0.107724005642259</v>
      </c>
      <c r="AI12" s="1">
        <v>0.0979206928775791</v>
      </c>
      <c r="AJ12" s="1">
        <v>0.104578568244531</v>
      </c>
      <c r="AK12" s="1">
        <v>0.0988364871977436</v>
      </c>
      <c r="AL12" s="1">
        <v>0.102435055377477</v>
      </c>
      <c r="AM12" s="1">
        <v>0.089003191806833</v>
      </c>
      <c r="AN12" s="1">
        <v>0.101614153113829</v>
      </c>
      <c r="AO12" s="1">
        <v>0.089912658033883</v>
      </c>
      <c r="AP12" s="1">
        <v>0.0162489735886448</v>
      </c>
      <c r="AR12" s="1">
        <f t="shared" si="0"/>
        <v>0.00382991980395061</v>
      </c>
    </row>
    <row r="13" s="1" customFormat="1" spans="1:44">
      <c r="A13" s="1">
        <v>90</v>
      </c>
      <c r="B13" s="1">
        <v>47653</v>
      </c>
      <c r="C13" s="1">
        <v>50339</v>
      </c>
      <c r="D13" s="1">
        <v>49937</v>
      </c>
      <c r="E13" s="1">
        <v>49933</v>
      </c>
      <c r="F13" s="1">
        <v>48186</v>
      </c>
      <c r="G13" s="1">
        <v>49582</v>
      </c>
      <c r="H13" s="1">
        <v>48788</v>
      </c>
      <c r="I13" s="1">
        <v>44164</v>
      </c>
      <c r="J13" s="1">
        <v>43876</v>
      </c>
      <c r="K13" s="1">
        <v>45637</v>
      </c>
      <c r="L13" s="1">
        <v>44877</v>
      </c>
      <c r="M13" s="1">
        <v>44829</v>
      </c>
      <c r="N13" s="1">
        <v>49663</v>
      </c>
      <c r="O13" s="1">
        <v>49394</v>
      </c>
      <c r="P13" s="1">
        <v>44813</v>
      </c>
      <c r="Q13" s="1">
        <v>47413</v>
      </c>
      <c r="R13" s="1">
        <v>47478</v>
      </c>
      <c r="S13" s="1">
        <v>46949</v>
      </c>
      <c r="T13" s="1">
        <v>1.95424250943932</v>
      </c>
      <c r="U13" s="1">
        <v>58884.375</v>
      </c>
      <c r="V13" s="1">
        <v>47417.2777777778</v>
      </c>
      <c r="W13" s="1">
        <v>0.0919098229106331</v>
      </c>
      <c r="X13" s="1">
        <v>0.0680954859016877</v>
      </c>
      <c r="Y13" s="1">
        <v>0.0715776215478266</v>
      </c>
      <c r="Z13" s="1">
        <v>0.0716124103318166</v>
      </c>
      <c r="AA13" s="1">
        <v>0.0870791935135909</v>
      </c>
      <c r="AB13" s="1">
        <v>0.074676028787006</v>
      </c>
      <c r="AC13" s="1">
        <v>0.0816870546587061</v>
      </c>
      <c r="AD13" s="1">
        <v>0.124931668595916</v>
      </c>
      <c r="AE13" s="1">
        <v>0.12777304199302</v>
      </c>
      <c r="AF13" s="1">
        <v>0.110682981960107</v>
      </c>
      <c r="AG13" s="1">
        <v>0.117976252905841</v>
      </c>
      <c r="AH13" s="1">
        <v>0.118441018632121</v>
      </c>
      <c r="AI13" s="1">
        <v>0.0739671193035043</v>
      </c>
      <c r="AJ13" s="1">
        <v>0.0763258724014212</v>
      </c>
      <c r="AK13" s="1">
        <v>0.118596051134391</v>
      </c>
      <c r="AL13" s="1">
        <v>0.0941026341595058</v>
      </c>
      <c r="AM13" s="1">
        <v>0.0935076536926766</v>
      </c>
      <c r="AN13" s="1">
        <v>0.0983737234489212</v>
      </c>
      <c r="AO13" s="1">
        <v>0.094517535326594</v>
      </c>
      <c r="AP13" s="1">
        <v>0.0204845027331489</v>
      </c>
      <c r="AR13" s="1">
        <f t="shared" si="0"/>
        <v>0.00482824359728132</v>
      </c>
    </row>
    <row r="14" s="1" customFormat="1" spans="1:44">
      <c r="A14" s="1">
        <v>100</v>
      </c>
      <c r="B14" s="1">
        <v>51285</v>
      </c>
      <c r="C14" s="1">
        <v>47631</v>
      </c>
      <c r="D14" s="1">
        <v>49233</v>
      </c>
      <c r="E14" s="1">
        <v>47300</v>
      </c>
      <c r="F14" s="1">
        <v>47110</v>
      </c>
      <c r="G14" s="1">
        <v>51851</v>
      </c>
      <c r="H14" s="1">
        <v>46519</v>
      </c>
      <c r="I14" s="1">
        <v>44714</v>
      </c>
      <c r="J14" s="1">
        <v>43762</v>
      </c>
      <c r="K14" s="1">
        <v>43304</v>
      </c>
      <c r="L14" s="1">
        <v>43891</v>
      </c>
      <c r="M14" s="1">
        <v>44038</v>
      </c>
      <c r="N14" s="1">
        <v>46293</v>
      </c>
      <c r="O14" s="1">
        <v>47498</v>
      </c>
      <c r="P14" s="1">
        <v>46725</v>
      </c>
      <c r="Q14" s="1">
        <v>46514</v>
      </c>
      <c r="R14" s="1">
        <v>45876</v>
      </c>
      <c r="S14" s="1">
        <v>46124</v>
      </c>
      <c r="T14" s="1">
        <v>2</v>
      </c>
      <c r="U14" s="1">
        <v>58884.375</v>
      </c>
      <c r="V14" s="1">
        <v>46648.2222222222</v>
      </c>
      <c r="W14" s="1">
        <v>0.0600097099515537</v>
      </c>
      <c r="X14" s="1">
        <v>0.0921103703009956</v>
      </c>
      <c r="Y14" s="1">
        <v>0.0777437696039061</v>
      </c>
      <c r="Z14" s="1">
        <v>0.095138929066018</v>
      </c>
      <c r="AA14" s="1">
        <v>0.0968869655655959</v>
      </c>
      <c r="AB14" s="1">
        <v>0.0552429331811041</v>
      </c>
      <c r="AC14" s="1">
        <v>0.102369699498704</v>
      </c>
      <c r="AD14" s="1">
        <v>0.119556547325117</v>
      </c>
      <c r="AE14" s="1">
        <v>0.128902908006895</v>
      </c>
      <c r="AF14" s="1">
        <v>0.133472055720825</v>
      </c>
      <c r="AG14" s="1">
        <v>0.127624594004779</v>
      </c>
      <c r="AH14" s="1">
        <v>0.126172482680481</v>
      </c>
      <c r="AI14" s="1">
        <v>0.104484743822739</v>
      </c>
      <c r="AJ14" s="1">
        <v>0.0933247466473925</v>
      </c>
      <c r="AK14" s="1">
        <v>0.10045075975296</v>
      </c>
      <c r="AL14" s="1">
        <v>0.102416381265639</v>
      </c>
      <c r="AM14" s="1">
        <v>0.108414525737177</v>
      </c>
      <c r="AN14" s="1">
        <v>0.106073106337304</v>
      </c>
      <c r="AO14" s="1">
        <v>0.101688623803844</v>
      </c>
      <c r="AP14" s="1">
        <v>0.0218448376100415</v>
      </c>
      <c r="AR14" s="1">
        <f t="shared" si="0"/>
        <v>0.00514887760265976</v>
      </c>
    </row>
    <row r="15" s="1" customFormat="1" spans="1:44">
      <c r="A15" s="1">
        <v>110</v>
      </c>
      <c r="B15" s="1">
        <v>49135</v>
      </c>
      <c r="C15" s="1">
        <v>47571</v>
      </c>
      <c r="D15" s="1">
        <v>47539</v>
      </c>
      <c r="E15" s="1">
        <v>46060</v>
      </c>
      <c r="F15" s="1">
        <v>49993</v>
      </c>
      <c r="G15" s="1">
        <v>48580</v>
      </c>
      <c r="H15" s="1">
        <v>45585</v>
      </c>
      <c r="I15" s="1">
        <v>42755</v>
      </c>
      <c r="J15" s="1">
        <v>44242</v>
      </c>
      <c r="K15" s="1">
        <v>45229</v>
      </c>
      <c r="L15" s="1">
        <v>44984</v>
      </c>
      <c r="M15" s="1">
        <v>45055</v>
      </c>
      <c r="N15" s="1">
        <v>44539</v>
      </c>
      <c r="O15" s="1">
        <v>46420</v>
      </c>
      <c r="P15" s="1">
        <v>45163</v>
      </c>
      <c r="Q15" s="1">
        <v>44510</v>
      </c>
      <c r="R15" s="1">
        <v>43474</v>
      </c>
      <c r="S15" s="1">
        <v>43915</v>
      </c>
      <c r="T15" s="1">
        <v>2.04139268515822</v>
      </c>
      <c r="U15" s="1">
        <v>58884.375</v>
      </c>
      <c r="V15" s="1">
        <v>45819.3888888889</v>
      </c>
      <c r="W15" s="1">
        <v>0.0786091094157866</v>
      </c>
      <c r="X15" s="1">
        <v>0.0926577888922908</v>
      </c>
      <c r="Y15" s="1">
        <v>0.0929500278565491</v>
      </c>
      <c r="Z15" s="1">
        <v>0.106676136175617</v>
      </c>
      <c r="AA15" s="1">
        <v>0.0710908709517604</v>
      </c>
      <c r="AB15" s="1">
        <v>0.0835425593347178</v>
      </c>
      <c r="AC15" s="1">
        <v>0.111178110668205</v>
      </c>
      <c r="AD15" s="1">
        <v>0.139013159033609</v>
      </c>
      <c r="AE15" s="1">
        <v>0.124165318384881</v>
      </c>
      <c r="AF15" s="1">
        <v>0.114583084076105</v>
      </c>
      <c r="AG15" s="1">
        <v>0.116941999302483</v>
      </c>
      <c r="AH15" s="1">
        <v>0.116257075778094</v>
      </c>
      <c r="AI15" s="1">
        <v>0.121259607877191</v>
      </c>
      <c r="AJ15" s="1">
        <v>0.103294933683931</v>
      </c>
      <c r="AK15" s="1">
        <v>0.11521728712282</v>
      </c>
      <c r="AL15" s="1">
        <v>0.121542475521307</v>
      </c>
      <c r="AM15" s="1">
        <v>0.131770468766267</v>
      </c>
      <c r="AN15" s="1">
        <v>0.127387182715682</v>
      </c>
      <c r="AO15" s="1">
        <v>0.109340955308739</v>
      </c>
      <c r="AP15" s="1">
        <v>0.0188720082650136</v>
      </c>
      <c r="AR15" s="1">
        <f t="shared" si="0"/>
        <v>0.00444817500626657</v>
      </c>
    </row>
    <row r="16" s="1" customFormat="1" spans="1:44">
      <c r="A16" s="1">
        <v>120</v>
      </c>
      <c r="B16" s="1">
        <v>47775</v>
      </c>
      <c r="C16" s="1">
        <v>49180</v>
      </c>
      <c r="D16" s="1">
        <v>47639</v>
      </c>
      <c r="E16" s="1">
        <v>48422</v>
      </c>
      <c r="F16" s="1">
        <v>46675</v>
      </c>
      <c r="G16" s="1">
        <v>48383</v>
      </c>
      <c r="H16" s="1">
        <v>46006</v>
      </c>
      <c r="I16" s="1">
        <v>39216</v>
      </c>
      <c r="J16" s="1">
        <v>45796</v>
      </c>
      <c r="K16" s="1">
        <v>46988</v>
      </c>
      <c r="L16" s="1">
        <v>42960</v>
      </c>
      <c r="M16" s="1">
        <v>43866</v>
      </c>
      <c r="N16" s="1">
        <v>43148</v>
      </c>
      <c r="O16" s="1">
        <v>46280</v>
      </c>
      <c r="P16" s="1">
        <v>45287</v>
      </c>
      <c r="Q16" s="1">
        <v>44305</v>
      </c>
      <c r="R16" s="1">
        <v>44361</v>
      </c>
      <c r="S16" s="1">
        <v>43041</v>
      </c>
      <c r="T16" s="1">
        <v>2.07918124604762</v>
      </c>
      <c r="U16" s="1">
        <v>58884.375</v>
      </c>
      <c r="V16" s="1">
        <v>45518.2222222222</v>
      </c>
      <c r="W16" s="1">
        <v>0.0907993740767791</v>
      </c>
      <c r="X16" s="1">
        <v>0.0782115454011312</v>
      </c>
      <c r="Y16" s="1">
        <v>0.0920374332617726</v>
      </c>
      <c r="Z16" s="1">
        <v>0.0849573464282753</v>
      </c>
      <c r="AA16" s="1">
        <v>0.100915743182714</v>
      </c>
      <c r="AB16" s="1">
        <v>0.0853072764052513</v>
      </c>
      <c r="AC16" s="1">
        <v>0.107185594709976</v>
      </c>
      <c r="AD16" s="1">
        <v>0.176536775895827</v>
      </c>
      <c r="AE16" s="1">
        <v>0.109172523105448</v>
      </c>
      <c r="AF16" s="1">
        <v>0.0980131097233948</v>
      </c>
      <c r="AG16" s="1">
        <v>0.13693579711233</v>
      </c>
      <c r="AH16" s="1">
        <v>0.127872035515799</v>
      </c>
      <c r="AI16" s="1">
        <v>0.135039399743191</v>
      </c>
      <c r="AJ16" s="1">
        <v>0.104606719524118</v>
      </c>
      <c r="AK16" s="1">
        <v>0.114026517648118</v>
      </c>
      <c r="AL16" s="1">
        <v>0.123547328910892</v>
      </c>
      <c r="AM16" s="1">
        <v>0.122998742209781</v>
      </c>
      <c r="AN16" s="1">
        <v>0.136117716777543</v>
      </c>
      <c r="AO16" s="1">
        <v>0.112460054424019</v>
      </c>
      <c r="AP16" s="1">
        <v>0.0245471500577463</v>
      </c>
      <c r="AR16" s="1">
        <f t="shared" si="0"/>
        <v>0.00578581875487873</v>
      </c>
    </row>
    <row r="17" s="1" customFormat="1" spans="1:44">
      <c r="A17" s="1">
        <v>130</v>
      </c>
      <c r="B17" s="1">
        <v>47820</v>
      </c>
      <c r="C17" s="1">
        <v>47187</v>
      </c>
      <c r="D17" s="1">
        <v>47919</v>
      </c>
      <c r="E17" s="1">
        <v>47581</v>
      </c>
      <c r="F17" s="1">
        <v>47770</v>
      </c>
      <c r="G17" s="1">
        <v>48103</v>
      </c>
      <c r="H17" s="1">
        <v>46529</v>
      </c>
      <c r="I17" s="1">
        <v>45714</v>
      </c>
      <c r="J17" s="1">
        <v>47077</v>
      </c>
      <c r="K17" s="1">
        <v>41394</v>
      </c>
      <c r="L17" s="1">
        <v>45733</v>
      </c>
      <c r="M17" s="1">
        <v>47719</v>
      </c>
      <c r="N17" s="1">
        <v>45299</v>
      </c>
      <c r="O17" s="1">
        <v>42903</v>
      </c>
      <c r="P17" s="1">
        <v>43258</v>
      </c>
      <c r="Q17" s="1">
        <v>44778</v>
      </c>
      <c r="R17" s="1">
        <v>44117</v>
      </c>
      <c r="S17" s="1">
        <v>44612</v>
      </c>
      <c r="T17" s="1">
        <v>2.11394335230684</v>
      </c>
      <c r="U17" s="1">
        <v>58884.375</v>
      </c>
      <c r="V17" s="1">
        <v>45861.8333333333</v>
      </c>
      <c r="W17" s="1">
        <v>0.0903904980240736</v>
      </c>
      <c r="X17" s="1">
        <v>0.0961777026507814</v>
      </c>
      <c r="Y17" s="1">
        <v>0.0894923234236893</v>
      </c>
      <c r="Z17" s="1">
        <v>0.0925665045296916</v>
      </c>
      <c r="AA17" s="1">
        <v>0.0908448285204757</v>
      </c>
      <c r="AB17" s="1">
        <v>0.0878279073007475</v>
      </c>
      <c r="AC17" s="1">
        <v>0.102276351015432</v>
      </c>
      <c r="AD17" s="1">
        <v>0.109950845847175</v>
      </c>
      <c r="AE17" s="1">
        <v>0.0971912903341785</v>
      </c>
      <c r="AF17" s="1">
        <v>0.153062674473591</v>
      </c>
      <c r="AG17" s="1">
        <v>0.109770378575971</v>
      </c>
      <c r="AH17" s="1">
        <v>0.0913087357911165</v>
      </c>
      <c r="AI17" s="1">
        <v>0.113911454971472</v>
      </c>
      <c r="AJ17" s="1">
        <v>0.137512408437463</v>
      </c>
      <c r="AK17" s="1">
        <v>0.133933633504334</v>
      </c>
      <c r="AL17" s="1">
        <v>0.118935377799791</v>
      </c>
      <c r="AM17" s="1">
        <v>0.125394097489516</v>
      </c>
      <c r="AN17" s="1">
        <v>0.120548376275424</v>
      </c>
      <c r="AO17" s="1">
        <v>0.108949743831385</v>
      </c>
      <c r="AP17" s="1">
        <v>0.0193107958767542</v>
      </c>
      <c r="AR17" s="1">
        <f t="shared" si="0"/>
        <v>0.00455159823818737</v>
      </c>
    </row>
    <row r="18" s="1" customFormat="1" spans="1:44">
      <c r="A18" s="1">
        <v>140</v>
      </c>
      <c r="B18" s="1">
        <v>49667</v>
      </c>
      <c r="C18" s="1">
        <v>45181</v>
      </c>
      <c r="D18" s="1">
        <v>49495</v>
      </c>
      <c r="E18" s="1">
        <v>46785</v>
      </c>
      <c r="F18" s="1">
        <v>49060</v>
      </c>
      <c r="G18" s="1">
        <v>45923</v>
      </c>
      <c r="H18" s="1">
        <v>43002</v>
      </c>
      <c r="I18" s="1">
        <v>42517</v>
      </c>
      <c r="J18" s="1">
        <v>44178</v>
      </c>
      <c r="K18" s="1">
        <v>42962</v>
      </c>
      <c r="L18" s="1">
        <v>44469</v>
      </c>
      <c r="M18" s="1">
        <v>41113</v>
      </c>
      <c r="N18" s="1">
        <v>42918</v>
      </c>
      <c r="O18" s="1">
        <v>45182</v>
      </c>
      <c r="P18" s="1">
        <v>44440</v>
      </c>
      <c r="Q18" s="1">
        <v>42889</v>
      </c>
      <c r="R18" s="1">
        <v>44320</v>
      </c>
      <c r="S18" s="1">
        <v>43768</v>
      </c>
      <c r="T18" s="1">
        <v>2.14612803567824</v>
      </c>
      <c r="U18" s="1">
        <v>58884.375</v>
      </c>
      <c r="V18" s="1">
        <v>44881.6111111111</v>
      </c>
      <c r="W18" s="1">
        <v>0.0739321413929324</v>
      </c>
      <c r="X18" s="1">
        <v>0.115044230787531</v>
      </c>
      <c r="Y18" s="1">
        <v>0.0754387412154573</v>
      </c>
      <c r="Z18" s="1">
        <v>0.0998934359910045</v>
      </c>
      <c r="AA18" s="1">
        <v>0.0792725259334627</v>
      </c>
      <c r="AB18" s="1">
        <v>0.10796981844335</v>
      </c>
      <c r="AC18" s="1">
        <v>0.136511414950646</v>
      </c>
      <c r="AD18" s="1">
        <v>0.141437456695053</v>
      </c>
      <c r="AE18" s="1">
        <v>0.124794018943484</v>
      </c>
      <c r="AF18" s="1">
        <v>0.136915579031653</v>
      </c>
      <c r="AG18" s="1">
        <v>0.121942706475088</v>
      </c>
      <c r="AH18" s="1">
        <v>0.15602090156376</v>
      </c>
      <c r="AI18" s="1">
        <v>0.137360594375756</v>
      </c>
      <c r="AJ18" s="1">
        <v>0.115034618568328</v>
      </c>
      <c r="AK18" s="1">
        <v>0.122226019535</v>
      </c>
      <c r="AL18" s="1">
        <v>0.137654149457619</v>
      </c>
      <c r="AM18" s="1">
        <v>0.123400318083456</v>
      </c>
      <c r="AN18" s="1">
        <v>0.128843368034417</v>
      </c>
      <c r="AO18" s="1">
        <v>0.118538446637666</v>
      </c>
      <c r="AP18" s="1">
        <v>0.0234856850764815</v>
      </c>
      <c r="AR18" s="1">
        <f t="shared" si="0"/>
        <v>0.00553562905946393</v>
      </c>
    </row>
    <row r="19" s="1" customFormat="1" spans="1:44">
      <c r="A19" s="1">
        <v>150</v>
      </c>
      <c r="B19" s="1">
        <v>50414</v>
      </c>
      <c r="C19" s="1">
        <v>48842</v>
      </c>
      <c r="D19" s="1">
        <v>45450</v>
      </c>
      <c r="E19" s="1">
        <v>47379</v>
      </c>
      <c r="F19" s="1">
        <v>46430</v>
      </c>
      <c r="G19" s="1">
        <v>45790</v>
      </c>
      <c r="H19" s="1">
        <v>43008</v>
      </c>
      <c r="I19" s="1">
        <v>42960</v>
      </c>
      <c r="J19" s="1">
        <v>42641</v>
      </c>
      <c r="K19" s="1">
        <v>41793</v>
      </c>
      <c r="L19" s="1">
        <v>40964</v>
      </c>
      <c r="M19" s="1">
        <v>42332</v>
      </c>
      <c r="N19" s="1">
        <v>43327</v>
      </c>
      <c r="O19" s="1">
        <v>42977</v>
      </c>
      <c r="P19" s="1">
        <v>43169</v>
      </c>
      <c r="Q19" s="1">
        <v>43345</v>
      </c>
      <c r="R19" s="1">
        <v>43776</v>
      </c>
      <c r="S19" s="1">
        <v>41089</v>
      </c>
      <c r="T19" s="1">
        <v>2.17609125905568</v>
      </c>
      <c r="U19" s="1">
        <v>58884.375</v>
      </c>
      <c r="V19" s="1">
        <v>44204.7777777778</v>
      </c>
      <c r="W19" s="1">
        <v>0.0674489127543062</v>
      </c>
      <c r="X19" s="1">
        <v>0.0812066305182919</v>
      </c>
      <c r="Y19" s="1">
        <v>0.112466182245843</v>
      </c>
      <c r="Z19" s="1">
        <v>0.0944141797122514</v>
      </c>
      <c r="AA19" s="1">
        <v>0.103201386137656</v>
      </c>
      <c r="AB19" s="1">
        <v>0.109229426276132</v>
      </c>
      <c r="AC19" s="1">
        <v>0.136450822766117</v>
      </c>
      <c r="AD19" s="1">
        <v>0.13693579711233</v>
      </c>
      <c r="AE19" s="1">
        <v>0.14017268876211</v>
      </c>
      <c r="AF19" s="1">
        <v>0.14889652286019</v>
      </c>
      <c r="AG19" s="1">
        <v>0.157597712336299</v>
      </c>
      <c r="AH19" s="1">
        <v>0.143331282349309</v>
      </c>
      <c r="AI19" s="1">
        <v>0.133241450664471</v>
      </c>
      <c r="AJ19" s="1">
        <v>0.13676397342082</v>
      </c>
      <c r="AK19" s="1">
        <v>0.134828081363268</v>
      </c>
      <c r="AL19" s="1">
        <v>0.133061062516358</v>
      </c>
      <c r="AM19" s="1">
        <v>0.128763994099826</v>
      </c>
      <c r="AN19" s="1">
        <v>0.156274498017905</v>
      </c>
      <c r="AO19" s="1">
        <v>0.125238033550749</v>
      </c>
      <c r="AP19" s="1">
        <v>0.0252971499696489</v>
      </c>
      <c r="AR19" s="1">
        <f t="shared" si="0"/>
        <v>0.0059625954294106</v>
      </c>
    </row>
    <row r="20" s="1" customFormat="1" spans="1:44">
      <c r="A20" s="1">
        <v>160</v>
      </c>
      <c r="B20" s="1">
        <v>46003</v>
      </c>
      <c r="C20" s="1">
        <v>47248</v>
      </c>
      <c r="D20" s="1">
        <v>47645</v>
      </c>
      <c r="E20" s="1">
        <v>45352</v>
      </c>
      <c r="F20" s="1">
        <v>48866</v>
      </c>
      <c r="G20" s="1">
        <v>45313</v>
      </c>
      <c r="H20" s="1">
        <v>41545</v>
      </c>
      <c r="I20" s="1">
        <v>43945</v>
      </c>
      <c r="J20" s="1">
        <v>41117</v>
      </c>
      <c r="K20" s="1">
        <v>45337</v>
      </c>
      <c r="L20" s="1">
        <v>42909</v>
      </c>
      <c r="M20" s="1">
        <v>43879</v>
      </c>
      <c r="N20" s="1">
        <v>44515</v>
      </c>
      <c r="O20" s="1">
        <v>43205</v>
      </c>
      <c r="P20" s="1">
        <v>44666</v>
      </c>
      <c r="Q20" s="1">
        <v>42866</v>
      </c>
      <c r="R20" s="1">
        <v>42550</v>
      </c>
      <c r="S20" s="1">
        <v>43205</v>
      </c>
      <c r="T20" s="1">
        <v>2.20411998265592</v>
      </c>
      <c r="U20" s="1">
        <v>58884.375</v>
      </c>
      <c r="V20" s="1">
        <v>44453.6666666667</v>
      </c>
      <c r="W20" s="1">
        <v>0.107213915492642</v>
      </c>
      <c r="X20" s="1">
        <v>0.0956166401828264</v>
      </c>
      <c r="Y20" s="1">
        <v>0.091982738519846</v>
      </c>
      <c r="Z20" s="1">
        <v>0.113403625820916</v>
      </c>
      <c r="AA20" s="1">
        <v>0.0809932791494112</v>
      </c>
      <c r="AB20" s="1">
        <v>0.113777253700227</v>
      </c>
      <c r="AC20" s="1">
        <v>0.151481306498963</v>
      </c>
      <c r="AD20" s="1">
        <v>0.127090600995594</v>
      </c>
      <c r="AE20" s="1">
        <v>0.155978649881187</v>
      </c>
      <c r="AF20" s="1">
        <v>0.1135472908142</v>
      </c>
      <c r="AG20" s="1">
        <v>0.137451676444369</v>
      </c>
      <c r="AH20" s="1">
        <v>0.127743348335765</v>
      </c>
      <c r="AI20" s="1">
        <v>0.121493692091668</v>
      </c>
      <c r="AJ20" s="1">
        <v>0.134466060332545</v>
      </c>
      <c r="AK20" s="1">
        <v>0.120023008214251</v>
      </c>
      <c r="AL20" s="1">
        <v>0.13788711017882</v>
      </c>
      <c r="AM20" s="1">
        <v>0.141100505383223</v>
      </c>
      <c r="AN20" s="1">
        <v>0.134466060332545</v>
      </c>
      <c r="AO20" s="1">
        <v>0.122539820131611</v>
      </c>
      <c r="AP20" s="1">
        <v>0.0202318352819887</v>
      </c>
      <c r="AR20" s="1">
        <f t="shared" si="0"/>
        <v>0.00476868930791448</v>
      </c>
    </row>
    <row r="21" s="1" customFormat="1" spans="1:44">
      <c r="A21" s="1">
        <v>170</v>
      </c>
      <c r="B21" s="1">
        <v>47767</v>
      </c>
      <c r="C21" s="1">
        <v>47498</v>
      </c>
      <c r="D21" s="1">
        <v>45195</v>
      </c>
      <c r="E21" s="1">
        <v>47478</v>
      </c>
      <c r="F21" s="1">
        <v>48861</v>
      </c>
      <c r="G21" s="1">
        <v>44992</v>
      </c>
      <c r="H21" s="1">
        <v>44072</v>
      </c>
      <c r="I21" s="1">
        <v>43033</v>
      </c>
      <c r="J21" s="1">
        <v>42402</v>
      </c>
      <c r="K21" s="1">
        <v>42898</v>
      </c>
      <c r="L21" s="1">
        <v>42027</v>
      </c>
      <c r="M21" s="1">
        <v>43290</v>
      </c>
      <c r="N21" s="1">
        <v>43640</v>
      </c>
      <c r="O21" s="1">
        <v>41937</v>
      </c>
      <c r="P21" s="1">
        <v>43352</v>
      </c>
      <c r="Q21" s="1">
        <v>43214</v>
      </c>
      <c r="R21" s="1">
        <v>41664</v>
      </c>
      <c r="S21" s="1">
        <v>43662</v>
      </c>
      <c r="T21" s="1">
        <v>2.23044892137827</v>
      </c>
      <c r="U21" s="1">
        <v>58884.375</v>
      </c>
      <c r="V21" s="1">
        <v>44276.7777777778</v>
      </c>
      <c r="W21" s="1">
        <v>0.0908721034704143</v>
      </c>
      <c r="X21" s="1">
        <v>0.0933247466473925</v>
      </c>
      <c r="Y21" s="1">
        <v>0.114909679074791</v>
      </c>
      <c r="Z21" s="1">
        <v>0.0935076536926766</v>
      </c>
      <c r="AA21" s="1">
        <v>0.0810377187088248</v>
      </c>
      <c r="AB21" s="1">
        <v>0.116864770800118</v>
      </c>
      <c r="AC21" s="1">
        <v>0.125837310438565</v>
      </c>
      <c r="AD21" s="1">
        <v>0.136198446286227</v>
      </c>
      <c r="AE21" s="1">
        <v>0.142613728105463</v>
      </c>
      <c r="AF21" s="1">
        <v>0.137563024920067</v>
      </c>
      <c r="AG21" s="1">
        <v>0.146471679797114</v>
      </c>
      <c r="AH21" s="1">
        <v>0.133612483990673</v>
      </c>
      <c r="AI21" s="1">
        <v>0.130115327887525</v>
      </c>
      <c r="AJ21" s="1">
        <v>0.147402710199208</v>
      </c>
      <c r="AK21" s="1">
        <v>0.132990931799495</v>
      </c>
      <c r="AL21" s="1">
        <v>0.134375602207566</v>
      </c>
      <c r="AM21" s="1">
        <v>0.15023910725175</v>
      </c>
      <c r="AN21" s="1">
        <v>0.129896444498734</v>
      </c>
      <c r="AO21" s="1">
        <v>0.124324081654256</v>
      </c>
      <c r="AP21" s="1">
        <v>0.0213134006837837</v>
      </c>
      <c r="AR21" s="1">
        <f t="shared" si="0"/>
        <v>0.00502361671788316</v>
      </c>
    </row>
    <row r="22" s="1" customFormat="1" spans="1:44">
      <c r="A22" s="1">
        <v>180</v>
      </c>
      <c r="B22" s="1">
        <v>48756</v>
      </c>
      <c r="C22" s="1">
        <v>48109</v>
      </c>
      <c r="D22" s="1">
        <v>47019</v>
      </c>
      <c r="E22" s="1">
        <v>45388</v>
      </c>
      <c r="F22" s="1">
        <v>44405</v>
      </c>
      <c r="G22" s="1">
        <v>44447</v>
      </c>
      <c r="H22" s="1">
        <v>42561</v>
      </c>
      <c r="I22" s="1">
        <v>40404</v>
      </c>
      <c r="J22" s="1">
        <v>41230</v>
      </c>
      <c r="K22" s="1">
        <v>41329</v>
      </c>
      <c r="L22" s="1">
        <v>41393</v>
      </c>
      <c r="M22" s="1">
        <v>41652</v>
      </c>
      <c r="N22" s="1">
        <v>41885</v>
      </c>
      <c r="O22" s="1">
        <v>42704</v>
      </c>
      <c r="P22" s="1">
        <v>42813</v>
      </c>
      <c r="Q22" s="1">
        <v>42284</v>
      </c>
      <c r="R22" s="1">
        <v>41815</v>
      </c>
      <c r="S22" s="1">
        <v>42165</v>
      </c>
      <c r="T22" s="1">
        <v>2.25527250510331</v>
      </c>
      <c r="U22" s="1">
        <v>58884.375</v>
      </c>
      <c r="V22" s="1">
        <v>43353.2777777778</v>
      </c>
      <c r="W22" s="1">
        <v>0.0819720014297931</v>
      </c>
      <c r="X22" s="1">
        <v>0.0877737401096529</v>
      </c>
      <c r="Y22" s="1">
        <v>0.09772668149088</v>
      </c>
      <c r="Z22" s="1">
        <v>0.113059023613095</v>
      </c>
      <c r="AA22" s="1">
        <v>0.122568195406527</v>
      </c>
      <c r="AB22" s="1">
        <v>0.122157616700398</v>
      </c>
      <c r="AC22" s="1">
        <v>0.140988246349078</v>
      </c>
      <c r="AD22" s="1">
        <v>0.163575707368116</v>
      </c>
      <c r="AE22" s="1">
        <v>0.154786735002471</v>
      </c>
      <c r="AF22" s="1">
        <v>0.153745172621226</v>
      </c>
      <c r="AG22" s="1">
        <v>0.15307316632574</v>
      </c>
      <c r="AH22" s="1">
        <v>0.150364210084793</v>
      </c>
      <c r="AI22" s="1">
        <v>0.147941550025412</v>
      </c>
      <c r="AJ22" s="1">
        <v>0.139531513360397</v>
      </c>
      <c r="AK22" s="1">
        <v>0.138424408944603</v>
      </c>
      <c r="AL22" s="1">
        <v>0.143824005649097</v>
      </c>
      <c r="AM22" s="1">
        <v>0.148667968683021</v>
      </c>
      <c r="AN22" s="1">
        <v>0.145047965140708</v>
      </c>
      <c r="AO22" s="1">
        <v>0.133623772683612</v>
      </c>
      <c r="AP22" s="1">
        <v>0.0241585294757544</v>
      </c>
      <c r="AR22" s="1">
        <f t="shared" si="0"/>
        <v>0.00569422000526701</v>
      </c>
    </row>
    <row r="23" s="1" customFormat="1" spans="1:44">
      <c r="A23" s="1">
        <v>190</v>
      </c>
      <c r="B23" s="1">
        <v>47346</v>
      </c>
      <c r="C23" s="1">
        <v>44708</v>
      </c>
      <c r="D23" s="1">
        <v>46833</v>
      </c>
      <c r="E23" s="1">
        <v>44402</v>
      </c>
      <c r="F23" s="1">
        <v>45233</v>
      </c>
      <c r="G23" s="1">
        <v>45449</v>
      </c>
      <c r="H23" s="1">
        <v>41792</v>
      </c>
      <c r="I23" s="1">
        <v>41731</v>
      </c>
      <c r="J23" s="1">
        <v>39956</v>
      </c>
      <c r="K23" s="1">
        <v>41140</v>
      </c>
      <c r="L23" s="1">
        <v>43141</v>
      </c>
      <c r="M23" s="1">
        <v>41703</v>
      </c>
      <c r="N23" s="1">
        <v>46736</v>
      </c>
      <c r="O23" s="1">
        <v>41872</v>
      </c>
      <c r="P23" s="1">
        <v>44451</v>
      </c>
      <c r="Q23" s="1">
        <v>43467</v>
      </c>
      <c r="R23" s="1">
        <v>47006</v>
      </c>
      <c r="S23" s="1">
        <v>45569</v>
      </c>
      <c r="T23" s="1">
        <v>2.27875360095283</v>
      </c>
      <c r="U23" s="1">
        <v>58884.375</v>
      </c>
      <c r="V23" s="1">
        <v>44029.7222222222</v>
      </c>
      <c r="W23" s="1">
        <v>0.0947167760380915</v>
      </c>
      <c r="X23" s="1">
        <v>0.119614827544645</v>
      </c>
      <c r="Y23" s="1">
        <v>0.0994480913573217</v>
      </c>
      <c r="Z23" s="1">
        <v>0.1225975373153</v>
      </c>
      <c r="AA23" s="1">
        <v>0.114544677277035</v>
      </c>
      <c r="AB23" s="1">
        <v>0.11247573778511</v>
      </c>
      <c r="AC23" s="1">
        <v>0.148906914544868</v>
      </c>
      <c r="AD23" s="1">
        <v>0.149541277968268</v>
      </c>
      <c r="AE23" s="1">
        <v>0.168418065346963</v>
      </c>
      <c r="AF23" s="1">
        <v>0.155735782445124</v>
      </c>
      <c r="AG23" s="1">
        <v>0.135109862058897</v>
      </c>
      <c r="AH23" s="1">
        <v>0.149832771746579</v>
      </c>
      <c r="AI23" s="1">
        <v>0.100348530174355</v>
      </c>
      <c r="AJ23" s="1">
        <v>0.148076364508024</v>
      </c>
      <c r="AK23" s="1">
        <v>0.122118534202956</v>
      </c>
      <c r="AL23" s="1">
        <v>0.131840402661205</v>
      </c>
      <c r="AM23" s="1">
        <v>0.0978467735578987</v>
      </c>
      <c r="AN23" s="1">
        <v>0.111330571597661</v>
      </c>
      <c r="AO23" s="1">
        <v>0.126805749896128</v>
      </c>
      <c r="AP23" s="1">
        <v>0.0225625787208664</v>
      </c>
      <c r="AR23" s="1">
        <f t="shared" si="0"/>
        <v>0.00531805080485999</v>
      </c>
    </row>
    <row r="24" s="1" customFormat="1" spans="1:44">
      <c r="A24" s="1">
        <v>200</v>
      </c>
      <c r="B24" s="1">
        <v>48769</v>
      </c>
      <c r="C24" s="1">
        <v>44184</v>
      </c>
      <c r="D24" s="1">
        <v>45536</v>
      </c>
      <c r="E24" s="1">
        <v>46747</v>
      </c>
      <c r="F24" s="1">
        <v>44119</v>
      </c>
      <c r="G24" s="1">
        <v>44519</v>
      </c>
      <c r="H24" s="1">
        <v>41257</v>
      </c>
      <c r="I24" s="1">
        <v>42297</v>
      </c>
      <c r="J24" s="1">
        <v>42450</v>
      </c>
      <c r="K24" s="1">
        <v>41931</v>
      </c>
      <c r="L24" s="1">
        <v>40083</v>
      </c>
      <c r="M24" s="1">
        <v>39989</v>
      </c>
      <c r="N24" s="1">
        <v>43756</v>
      </c>
      <c r="O24" s="1">
        <v>43521</v>
      </c>
      <c r="P24" s="1">
        <v>42980</v>
      </c>
      <c r="Q24" s="1">
        <v>41964</v>
      </c>
      <c r="R24" s="1">
        <v>43536</v>
      </c>
      <c r="S24" s="1">
        <v>43500</v>
      </c>
      <c r="T24" s="1">
        <v>2.30102999566398</v>
      </c>
      <c r="U24" s="1">
        <v>58884.375</v>
      </c>
      <c r="V24" s="1">
        <v>43396.5555555555</v>
      </c>
      <c r="W24" s="1">
        <v>0.0818562192550034</v>
      </c>
      <c r="X24" s="1">
        <v>0.124735039588209</v>
      </c>
      <c r="Y24" s="1">
        <v>0.111645191399639</v>
      </c>
      <c r="Z24" s="1">
        <v>0.100246324654143</v>
      </c>
      <c r="AA24" s="1">
        <v>0.125374409630503</v>
      </c>
      <c r="AB24" s="1">
        <v>0.121454669292989</v>
      </c>
      <c r="AC24" s="1">
        <v>0.154502424712846</v>
      </c>
      <c r="AD24" s="1">
        <v>0.143690504548159</v>
      </c>
      <c r="AE24" s="1">
        <v>0.142122375223858</v>
      </c>
      <c r="AF24" s="1">
        <v>0.147464849916284</v>
      </c>
      <c r="AG24" s="1">
        <v>0.167039851089163</v>
      </c>
      <c r="AH24" s="1">
        <v>0.168059525883162</v>
      </c>
      <c r="AI24" s="1">
        <v>0.128962456143175</v>
      </c>
      <c r="AJ24" s="1">
        <v>0.131301204035296</v>
      </c>
      <c r="AK24" s="1">
        <v>0.136733658648405</v>
      </c>
      <c r="AL24" s="1">
        <v>0.14712319144696</v>
      </c>
      <c r="AM24" s="1">
        <v>0.131151545368147</v>
      </c>
      <c r="AN24" s="1">
        <v>0.131510812849192</v>
      </c>
      <c r="AO24" s="1">
        <v>0.13305412520473</v>
      </c>
      <c r="AP24" s="1">
        <v>0.0215562438030018</v>
      </c>
      <c r="AR24" s="1">
        <f t="shared" si="0"/>
        <v>0.00508085539000436</v>
      </c>
    </row>
  </sheetData>
  <pageMargins left="0.75" right="0.75" top="1" bottom="1" header="0.5" footer="0.5"/>
  <headerFooter/>
  <ignoredErrors>
    <ignoredError sqref="AR2:AR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12 TRIALS</vt:lpstr>
      <vt:lpstr>18 TRIALS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2026-05-18T11:56:00Z</dcterms:created>
  <dcterms:modified xsi:type="dcterms:W3CDTF">2026-06-03T05:51:56Z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DDDEFFDD9E1F41BD875CA76C71CCBCC1_13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