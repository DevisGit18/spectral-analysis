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  <sheet name="All channe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<sst xmlns="http://schemas.openxmlformats.org/spreadsheetml/2006/main" count="54" uniqueCount="35">
  <si>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serum</t>
  </si>
  <si>
    <t>violet blue channel</t>
  </si>
  <si>
    <t>6 values</t>
  </si>
  <si>
    <t>I0</t>
  </si>
  <si>
    <t>Absorbance</t>
  </si>
  <si>
    <t>std</t>
  </si>
  <si>
    <t>Best 3 values of Blue violet channel</t>
  </si>
  <si>
    <t>Log con</t>
  </si>
  <si>
    <t>Conc</t>
  </si>
  <si>
    <t>A=LOG(Io/I)</t>
  </si>
  <si>
    <t>Concentration</t>
  </si>
  <si>
    <t>I1</t>
  </si>
  <si>
    <t>I2</t>
  </si>
  <si>
    <t>I3</t>
  </si>
  <si>
    <t>I4</t>
  </si>
  <si>
    <t>I5</t>
  </si>
  <si>
    <t>I6</t>
  </si>
  <si>
    <t>AVG</t>
  </si>
  <si>
    <t>A1</t>
  </si>
  <si>
    <t>A2</t>
  </si>
  <si>
    <t>A3</t>
  </si>
  <si>
    <t>A4</t>
  </si>
  <si>
    <t>A5</t>
  </si>
  <si>
    <t>Absorbance avg</t>
  </si>
  <si>
    <t>violet</t>
  </si>
  <si>
    <t>violet blue</t>
  </si>
  <si>
    <t>blue</t>
  </si>
  <si>
    <t>bluecyan</t>
  </si>
  <si>
    <t>green</t>
  </si>
  <si>
    <t>yellowgreen</t>
  </si>
  <si>
    <t>greenishyellow</t>
  </si>
  <si>
    <t>orange</t>
  </si>
  <si>
    <t>red</t>
  </si>
  <si>
    <t>deepred</t>
  </si>
  <si>
    <t>near ir-deep 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</si>
</sst>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9" tint="-0.25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4947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6" fillId="17" borderId="4" applyNumberFormat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2" borderId="0" xfId="0" applyFill="1" applyAlignment="1"/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0" fillId="6" borderId="0" xfId="0" applyFill="1" applyAlignment="1"/>
    <xf numFmtId="0" fontId="0" fillId="7" borderId="0" xfId="0" applyFill="1" applyAlignment="1"/>
    <xf numFmtId="0" fontId="0" fillId="8" borderId="0" xfId="0" applyFill="1" applyAlignment="1"/>
    <xf numFmtId="0" fontId="0" fillId="9" borderId="0" xfId="0" applyFill="1" applyAlignment="1"/>
    <xf numFmtId="0" fontId="0" fillId="10" borderId="0" xfId="0" applyFill="1" applyAlignment="1"/>
    <xf numFmtId="0" fontId="0" fillId="11" borderId="0" xfId="0" applyFill="1" applyAlignment="1"/>
    <xf numFmtId="0" fontId="0" fillId="12" borderId="0" xfId="0" applyFill="1" applyAlignment="1"/>
    <xf numFmtId="0" fontId="0" fillId="0" borderId="0" xfId="0" applyFill="1" applyAlignment="1"/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0" borderId="0" xfId="0" applyFill="1" applyAlignment="1">
      <alignment vertical="center"/>
    </xf>
    <xf numFmtId="0" fontId="1" fillId="14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4" fillId="14" borderId="0" xfId="0" applyFont="1" applyFill="1">
      <alignment vertical="center"/>
    </xf>
    <xf numFmtId="0" fontId="0" fillId="0" borderId="0" xfId="0" applyFill="1">
      <alignment vertical="center"/>
    </xf>
    <xf numFmtId="0" fontId="5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T76"/>
  <sheetViews>
    <sheetView tabSelected="1" zoomScale="87" zoomScaleNormal="87" topLeftCell="A31" workbookViewId="0">
      <selection activeCell="C33" sqref="C33"/>
    </sheetView>
  </sheetViews>
  <sheetFormatPr defaultColWidth="8.88888888888889" defaultRowHeight="14.4"/>
  <cols>
    <col min="3" max="3" width="12.8888888888889"/>
    <col min="5" max="7" width="12.8888888888889"/>
    <col min="9" max="9" width="12.8888888888889"/>
    <col min="11" max="19" width="12.8888888888889"/>
    <col min="24" max="25" width="12.8888888888889"/>
    <col min="26" max="26" width="11.7777777777778"/>
    <col min="27" max="31" width="12.8888888888889"/>
  </cols>
  <sheetData>
    <row r="1" spans="6:121">
      <c r="F1" t="s">
        <v>0</v>
      </c>
      <c r="M1">
        <v>20</v>
      </c>
      <c r="S1">
        <v>40</v>
      </c>
      <c r="Z1">
        <v>60</v>
      </c>
      <c r="AJ1">
        <v>80</v>
      </c>
      <c r="AQ1">
        <v>100</v>
      </c>
      <c r="AX1">
        <v>120</v>
      </c>
      <c r="BF1">
        <v>140</v>
      </c>
      <c r="BM1">
        <v>160</v>
      </c>
      <c r="BS1">
        <v>180</v>
      </c>
      <c r="BZ1">
        <v>200</v>
      </c>
      <c r="CH1">
        <v>250</v>
      </c>
      <c r="CO1">
        <v>300</v>
      </c>
      <c r="CV1">
        <v>350</v>
      </c>
      <c r="DD1">
        <v>400</v>
      </c>
      <c r="DJ1">
        <v>450</v>
      </c>
      <c r="DQ1">
        <v>500</v>
      </c>
    </row>
    <row r="3" spans="3:124">
      <c r="C3">
        <v>3247</v>
      </c>
      <c r="D3">
        <v>3420</v>
      </c>
      <c r="E3">
        <v>3270</v>
      </c>
      <c r="F3">
        <v>3267</v>
      </c>
      <c r="G3">
        <v>3364</v>
      </c>
      <c r="H3">
        <v>3420</v>
      </c>
      <c r="J3">
        <v>3528</v>
      </c>
      <c r="K3">
        <v>3373</v>
      </c>
      <c r="L3">
        <v>3391</v>
      </c>
      <c r="M3">
        <v>3413</v>
      </c>
      <c r="N3">
        <v>3471</v>
      </c>
      <c r="O3">
        <v>3380</v>
      </c>
      <c r="Q3">
        <v>3442</v>
      </c>
      <c r="R3">
        <v>3559</v>
      </c>
      <c r="S3">
        <v>3325</v>
      </c>
      <c r="T3">
        <v>3448</v>
      </c>
      <c r="U3">
        <v>3434</v>
      </c>
      <c r="V3">
        <v>3463</v>
      </c>
      <c r="Z3">
        <v>3350</v>
      </c>
      <c r="AA3">
        <v>3374</v>
      </c>
      <c r="AB3">
        <v>3321</v>
      </c>
      <c r="AC3">
        <v>3424</v>
      </c>
      <c r="AD3">
        <v>3375</v>
      </c>
      <c r="AE3">
        <v>3426</v>
      </c>
      <c r="AH3">
        <v>3340</v>
      </c>
      <c r="AI3">
        <v>3394</v>
      </c>
      <c r="AJ3">
        <v>3422</v>
      </c>
      <c r="AK3">
        <v>3354</v>
      </c>
      <c r="AL3">
        <v>3379</v>
      </c>
      <c r="AM3">
        <v>3300</v>
      </c>
      <c r="AO3">
        <v>3347</v>
      </c>
      <c r="AP3">
        <v>3324</v>
      </c>
      <c r="AQ3">
        <v>3453</v>
      </c>
      <c r="AR3">
        <v>3326</v>
      </c>
      <c r="AS3">
        <v>3306</v>
      </c>
      <c r="AT3">
        <v>3265</v>
      </c>
      <c r="AV3" s="2">
        <v>3517</v>
      </c>
      <c r="AW3" s="2">
        <v>3339</v>
      </c>
      <c r="AX3" s="2">
        <v>3304</v>
      </c>
      <c r="AY3" s="2">
        <v>3332</v>
      </c>
      <c r="AZ3" s="2">
        <v>3458</v>
      </c>
      <c r="BA3" s="2">
        <v>3588</v>
      </c>
      <c r="BC3">
        <v>3328</v>
      </c>
      <c r="BD3">
        <v>3343</v>
      </c>
      <c r="BE3">
        <v>3178</v>
      </c>
      <c r="BF3">
        <v>3363</v>
      </c>
      <c r="BG3">
        <v>3284</v>
      </c>
      <c r="BH3">
        <v>3302</v>
      </c>
      <c r="BJ3">
        <v>3148</v>
      </c>
      <c r="BK3">
        <v>3257</v>
      </c>
      <c r="BL3">
        <v>3207</v>
      </c>
      <c r="BM3">
        <v>3242</v>
      </c>
      <c r="BN3">
        <v>3155</v>
      </c>
      <c r="BO3">
        <v>3235</v>
      </c>
      <c r="BQ3">
        <v>3129</v>
      </c>
      <c r="BR3">
        <v>3282</v>
      </c>
      <c r="BS3">
        <v>3060</v>
      </c>
      <c r="BT3">
        <v>3082</v>
      </c>
      <c r="BU3">
        <v>3233</v>
      </c>
      <c r="BV3">
        <v>3238</v>
      </c>
      <c r="BX3">
        <v>3230</v>
      </c>
      <c r="BY3">
        <v>3034</v>
      </c>
      <c r="BZ3">
        <v>3131</v>
      </c>
      <c r="CA3">
        <v>3124</v>
      </c>
      <c r="CB3">
        <v>3131</v>
      </c>
      <c r="CC3">
        <v>3035</v>
      </c>
      <c r="CE3">
        <v>3227</v>
      </c>
      <c r="CF3">
        <v>3250</v>
      </c>
      <c r="CG3">
        <v>3415</v>
      </c>
      <c r="CH3">
        <v>3162</v>
      </c>
      <c r="CI3">
        <v>3143</v>
      </c>
      <c r="CJ3">
        <v>3161</v>
      </c>
      <c r="CL3">
        <v>3037</v>
      </c>
      <c r="CM3">
        <v>3033</v>
      </c>
      <c r="CN3">
        <v>2985</v>
      </c>
      <c r="CO3">
        <v>2989</v>
      </c>
      <c r="CP3">
        <v>3076</v>
      </c>
      <c r="CQ3">
        <v>3111</v>
      </c>
      <c r="CS3">
        <v>3008</v>
      </c>
      <c r="CT3">
        <v>3004</v>
      </c>
      <c r="CU3">
        <v>3107</v>
      </c>
      <c r="CV3">
        <v>3021</v>
      </c>
      <c r="CW3">
        <v>3026</v>
      </c>
      <c r="CX3">
        <v>3184</v>
      </c>
      <c r="CZ3">
        <v>3034</v>
      </c>
      <c r="DA3">
        <v>2981</v>
      </c>
      <c r="DB3">
        <v>2988</v>
      </c>
      <c r="DC3">
        <v>2978</v>
      </c>
      <c r="DD3">
        <v>2990</v>
      </c>
      <c r="DE3">
        <v>3172</v>
      </c>
      <c r="DG3">
        <v>2992</v>
      </c>
      <c r="DH3">
        <v>2994</v>
      </c>
      <c r="DI3">
        <v>2932</v>
      </c>
      <c r="DJ3">
        <v>3030</v>
      </c>
      <c r="DK3">
        <v>2995</v>
      </c>
      <c r="DL3">
        <v>2992</v>
      </c>
      <c r="DO3">
        <v>2951</v>
      </c>
      <c r="DP3">
        <v>2916</v>
      </c>
      <c r="DQ3">
        <v>2930</v>
      </c>
      <c r="DR3">
        <v>2940</v>
      </c>
      <c r="DS3">
        <v>3157</v>
      </c>
      <c r="DT3">
        <v>3083</v>
      </c>
    </row>
    <row r="4" s="20" customFormat="1" spans="3:124">
      <c r="C4" s="20">
        <v>5065</v>
      </c>
      <c r="D4" s="20">
        <v>5289</v>
      </c>
      <c r="E4" s="20">
        <v>5111</v>
      </c>
      <c r="F4" s="20">
        <v>5108</v>
      </c>
      <c r="G4" s="20">
        <v>5235</v>
      </c>
      <c r="H4" s="20">
        <v>5271</v>
      </c>
      <c r="J4" s="20">
        <v>5139</v>
      </c>
      <c r="K4" s="20">
        <v>4975</v>
      </c>
      <c r="L4" s="20">
        <v>5000</v>
      </c>
      <c r="M4" s="20">
        <v>5000</v>
      </c>
      <c r="N4" s="20">
        <v>5055</v>
      </c>
      <c r="O4" s="20">
        <v>4954</v>
      </c>
      <c r="Q4" s="20">
        <v>4907</v>
      </c>
      <c r="R4" s="20">
        <v>5074</v>
      </c>
      <c r="S4" s="20">
        <v>4747</v>
      </c>
      <c r="T4" s="20">
        <v>4976</v>
      </c>
      <c r="U4" s="20">
        <v>4960</v>
      </c>
      <c r="V4" s="20">
        <v>4974</v>
      </c>
      <c r="Z4" s="20">
        <v>4737</v>
      </c>
      <c r="AA4" s="20">
        <v>4836</v>
      </c>
      <c r="AB4" s="20">
        <v>4770</v>
      </c>
      <c r="AC4" s="20">
        <v>4843</v>
      </c>
      <c r="AD4" s="20">
        <v>4790</v>
      </c>
      <c r="AE4" s="20">
        <v>4848</v>
      </c>
      <c r="AH4" s="1">
        <v>4752</v>
      </c>
      <c r="AI4" s="1">
        <v>4804</v>
      </c>
      <c r="AJ4" s="1">
        <v>4845</v>
      </c>
      <c r="AK4" s="1">
        <v>4762</v>
      </c>
      <c r="AL4" s="1">
        <v>4790</v>
      </c>
      <c r="AM4" s="1">
        <v>4690</v>
      </c>
      <c r="AO4" s="20">
        <v>4777</v>
      </c>
      <c r="AP4" s="20">
        <v>4740</v>
      </c>
      <c r="AQ4" s="20">
        <v>4933</v>
      </c>
      <c r="AR4" s="20">
        <v>4759</v>
      </c>
      <c r="AS4" s="20">
        <v>4731</v>
      </c>
      <c r="AT4" s="20">
        <v>4683</v>
      </c>
      <c r="AV4" s="1">
        <v>4901</v>
      </c>
      <c r="AW4" s="1">
        <v>4684</v>
      </c>
      <c r="AX4" s="1">
        <v>4651</v>
      </c>
      <c r="AY4" s="1">
        <v>4689</v>
      </c>
      <c r="AZ4" s="1">
        <v>4832</v>
      </c>
      <c r="BA4" s="1">
        <v>4990</v>
      </c>
      <c r="BC4" s="20">
        <v>4663</v>
      </c>
      <c r="BD4" s="20">
        <v>4669</v>
      </c>
      <c r="BE4" s="20">
        <v>4470</v>
      </c>
      <c r="BF4" s="20">
        <v>4704</v>
      </c>
      <c r="BG4" s="20">
        <v>4604</v>
      </c>
      <c r="BH4" s="20">
        <v>4640</v>
      </c>
      <c r="BJ4" s="20">
        <v>4421</v>
      </c>
      <c r="BK4" s="20">
        <v>4546</v>
      </c>
      <c r="BL4" s="20">
        <v>4504</v>
      </c>
      <c r="BM4" s="20">
        <v>4581</v>
      </c>
      <c r="BN4" s="20">
        <v>4441</v>
      </c>
      <c r="BO4" s="20">
        <v>4529</v>
      </c>
      <c r="BQ4" s="20">
        <v>4436</v>
      </c>
      <c r="BR4" s="20">
        <v>4620</v>
      </c>
      <c r="BS4" s="20">
        <v>4360</v>
      </c>
      <c r="BT4" s="20">
        <v>4370</v>
      </c>
      <c r="BU4" s="20">
        <v>4562</v>
      </c>
      <c r="BV4" s="20">
        <v>4538</v>
      </c>
      <c r="BX4" s="20">
        <v>4560</v>
      </c>
      <c r="BY4" s="20">
        <v>4323</v>
      </c>
      <c r="BZ4" s="20">
        <v>4440</v>
      </c>
      <c r="CA4" s="20">
        <v>4424</v>
      </c>
      <c r="CB4" s="20">
        <v>4437</v>
      </c>
      <c r="CC4" s="20">
        <v>4317</v>
      </c>
      <c r="CE4" s="20">
        <v>4507</v>
      </c>
      <c r="CF4" s="20">
        <v>4531</v>
      </c>
      <c r="CG4" s="20">
        <v>4777</v>
      </c>
      <c r="CH4" s="20">
        <v>4444</v>
      </c>
      <c r="CI4" s="20">
        <v>4424</v>
      </c>
      <c r="CJ4" s="20">
        <v>4436</v>
      </c>
      <c r="CL4" s="20">
        <v>4316</v>
      </c>
      <c r="CM4" s="20">
        <v>4317</v>
      </c>
      <c r="CN4" s="20">
        <v>4269</v>
      </c>
      <c r="CO4" s="20">
        <v>4292</v>
      </c>
      <c r="CP4" s="20">
        <v>4382</v>
      </c>
      <c r="CQ4" s="20">
        <v>4379</v>
      </c>
      <c r="CS4" s="20">
        <v>4261</v>
      </c>
      <c r="CT4" s="20">
        <v>4252</v>
      </c>
      <c r="CU4" s="20">
        <v>4368</v>
      </c>
      <c r="CV4" s="20">
        <v>4287</v>
      </c>
      <c r="CW4" s="20">
        <v>4286</v>
      </c>
      <c r="CX4" s="20">
        <v>4468</v>
      </c>
      <c r="CZ4" s="20">
        <v>4267</v>
      </c>
      <c r="DA4" s="20">
        <v>4257</v>
      </c>
      <c r="DB4" s="20">
        <v>4284</v>
      </c>
      <c r="DC4" s="20">
        <v>4270</v>
      </c>
      <c r="DD4" s="20">
        <v>4258</v>
      </c>
      <c r="DE4" s="20">
        <v>4473</v>
      </c>
      <c r="DG4" s="1">
        <v>4270</v>
      </c>
      <c r="DH4" s="1">
        <v>4278</v>
      </c>
      <c r="DI4" s="1">
        <v>4198</v>
      </c>
      <c r="DJ4" s="1">
        <v>4275</v>
      </c>
      <c r="DK4" s="1">
        <v>4222</v>
      </c>
      <c r="DL4" s="1">
        <v>4243</v>
      </c>
      <c r="DO4" s="1">
        <v>4186</v>
      </c>
      <c r="DP4" s="1">
        <v>4141</v>
      </c>
      <c r="DQ4" s="1">
        <v>4151</v>
      </c>
      <c r="DR4" s="1">
        <v>4171</v>
      </c>
      <c r="DS4" s="1">
        <v>4421</v>
      </c>
      <c r="DT4" s="1">
        <v>4360</v>
      </c>
    </row>
    <row r="5" spans="3:124">
      <c r="C5">
        <v>13074</v>
      </c>
      <c r="D5">
        <v>13470</v>
      </c>
      <c r="E5">
        <v>13131</v>
      </c>
      <c r="F5">
        <v>13129</v>
      </c>
      <c r="G5">
        <v>13317</v>
      </c>
      <c r="H5">
        <v>13415</v>
      </c>
      <c r="J5">
        <v>12541</v>
      </c>
      <c r="K5">
        <v>12318</v>
      </c>
      <c r="L5">
        <v>12359</v>
      </c>
      <c r="M5">
        <v>12258</v>
      </c>
      <c r="N5">
        <v>12355</v>
      </c>
      <c r="O5">
        <v>12177</v>
      </c>
      <c r="Q5">
        <v>11759</v>
      </c>
      <c r="R5">
        <v>12127</v>
      </c>
      <c r="S5">
        <v>11420</v>
      </c>
      <c r="T5">
        <v>12065</v>
      </c>
      <c r="U5">
        <v>12000</v>
      </c>
      <c r="V5">
        <v>11983</v>
      </c>
      <c r="Z5">
        <v>11166</v>
      </c>
      <c r="AA5">
        <v>11538</v>
      </c>
      <c r="AB5">
        <v>11414</v>
      </c>
      <c r="AC5">
        <v>11363</v>
      </c>
      <c r="AD5">
        <v>11302</v>
      </c>
      <c r="AE5">
        <v>11340</v>
      </c>
      <c r="AH5">
        <v>11413</v>
      </c>
      <c r="AI5">
        <v>11453</v>
      </c>
      <c r="AJ5">
        <v>11544</v>
      </c>
      <c r="AK5">
        <v>11361</v>
      </c>
      <c r="AL5">
        <v>11419</v>
      </c>
      <c r="AM5">
        <v>11215</v>
      </c>
      <c r="AO5">
        <v>11389</v>
      </c>
      <c r="AP5">
        <v>11301</v>
      </c>
      <c r="AQ5">
        <v>11834</v>
      </c>
      <c r="AR5">
        <v>11372</v>
      </c>
      <c r="AS5">
        <v>11256</v>
      </c>
      <c r="AT5">
        <v>11209</v>
      </c>
      <c r="AV5">
        <v>11233</v>
      </c>
      <c r="AW5">
        <v>10870</v>
      </c>
      <c r="AX5">
        <v>10851</v>
      </c>
      <c r="AY5">
        <v>10912</v>
      </c>
      <c r="AZ5">
        <v>11078</v>
      </c>
      <c r="BA5">
        <v>11315</v>
      </c>
      <c r="BC5">
        <v>10792</v>
      </c>
      <c r="BD5">
        <v>10657</v>
      </c>
      <c r="BE5">
        <v>10368</v>
      </c>
      <c r="BF5">
        <v>10767</v>
      </c>
      <c r="BG5">
        <v>10620</v>
      </c>
      <c r="BH5">
        <v>10740</v>
      </c>
      <c r="BJ5">
        <v>10200</v>
      </c>
      <c r="BK5">
        <v>10442</v>
      </c>
      <c r="BL5">
        <v>10448</v>
      </c>
      <c r="BM5">
        <v>10779</v>
      </c>
      <c r="BN5">
        <v>10305</v>
      </c>
      <c r="BO5">
        <v>10342</v>
      </c>
      <c r="BQ5">
        <v>10324</v>
      </c>
      <c r="BR5">
        <v>10581</v>
      </c>
      <c r="BS5">
        <v>10229</v>
      </c>
      <c r="BT5">
        <v>10222</v>
      </c>
      <c r="BU5">
        <v>10516</v>
      </c>
      <c r="BV5">
        <v>10348</v>
      </c>
      <c r="BX5">
        <v>10575</v>
      </c>
      <c r="BY5">
        <v>10231</v>
      </c>
      <c r="BZ5">
        <v>10449</v>
      </c>
      <c r="CA5">
        <v>10355</v>
      </c>
      <c r="CB5">
        <v>10456</v>
      </c>
      <c r="CC5">
        <v>10121</v>
      </c>
      <c r="CE5">
        <v>10279</v>
      </c>
      <c r="CF5">
        <v>10295</v>
      </c>
      <c r="CG5">
        <v>11053</v>
      </c>
      <c r="CH5">
        <v>10147</v>
      </c>
      <c r="CI5">
        <v>10208</v>
      </c>
      <c r="CJ5">
        <v>10180</v>
      </c>
      <c r="CL5">
        <v>10088</v>
      </c>
      <c r="CM5">
        <v>10103</v>
      </c>
      <c r="CN5">
        <v>10078</v>
      </c>
      <c r="CO5">
        <v>10227</v>
      </c>
      <c r="CP5">
        <v>10284</v>
      </c>
      <c r="CQ5">
        <v>10098</v>
      </c>
      <c r="CS5">
        <v>9805</v>
      </c>
      <c r="CT5">
        <v>9812</v>
      </c>
      <c r="CU5">
        <v>9934</v>
      </c>
      <c r="CV5">
        <v>9973</v>
      </c>
      <c r="CW5">
        <v>9915</v>
      </c>
      <c r="CX5">
        <v>10140</v>
      </c>
      <c r="CZ5">
        <v>9734</v>
      </c>
      <c r="DA5">
        <v>9854</v>
      </c>
      <c r="DB5">
        <v>9956</v>
      </c>
      <c r="DC5">
        <v>9976</v>
      </c>
      <c r="DD5">
        <v>9838</v>
      </c>
      <c r="DE5">
        <v>10148</v>
      </c>
      <c r="DG5">
        <v>9899</v>
      </c>
      <c r="DH5">
        <v>9925</v>
      </c>
      <c r="DI5">
        <v>9790</v>
      </c>
      <c r="DJ5">
        <v>9807</v>
      </c>
      <c r="DK5">
        <v>9604</v>
      </c>
      <c r="DL5">
        <v>9725</v>
      </c>
      <c r="DO5">
        <v>9577</v>
      </c>
      <c r="DP5">
        <v>9512</v>
      </c>
      <c r="DQ5">
        <v>9558</v>
      </c>
      <c r="DR5">
        <v>9552</v>
      </c>
      <c r="DS5">
        <v>9920</v>
      </c>
      <c r="DT5">
        <v>9826</v>
      </c>
    </row>
    <row r="6" s="4" customFormat="1" spans="3:124">
      <c r="C6" s="4">
        <v>14179</v>
      </c>
      <c r="D6" s="4">
        <v>14618</v>
      </c>
      <c r="E6" s="4">
        <v>14217</v>
      </c>
      <c r="F6" s="4">
        <v>14226</v>
      </c>
      <c r="G6" s="4">
        <v>14397</v>
      </c>
      <c r="H6" s="4">
        <v>14594</v>
      </c>
      <c r="J6" s="4">
        <v>14333</v>
      </c>
      <c r="K6" s="4">
        <v>13967</v>
      </c>
      <c r="L6" s="4">
        <v>14030</v>
      </c>
      <c r="M6" s="4">
        <v>13975</v>
      </c>
      <c r="N6" s="4">
        <v>14163</v>
      </c>
      <c r="O6" s="4">
        <v>13897</v>
      </c>
      <c r="Q6" s="4">
        <v>13745</v>
      </c>
      <c r="R6" s="4">
        <v>14128</v>
      </c>
      <c r="S6" s="4">
        <v>13394</v>
      </c>
      <c r="T6" s="4">
        <v>13930</v>
      </c>
      <c r="U6" s="4">
        <v>13856</v>
      </c>
      <c r="V6" s="4">
        <v>13875</v>
      </c>
      <c r="Z6" s="4">
        <v>13209</v>
      </c>
      <c r="AA6" s="4">
        <v>13487</v>
      </c>
      <c r="AB6" s="4">
        <v>13349</v>
      </c>
      <c r="AC6" s="4">
        <v>13430</v>
      </c>
      <c r="AD6" s="4">
        <v>13316</v>
      </c>
      <c r="AE6" s="4">
        <v>13390</v>
      </c>
      <c r="AH6" s="4">
        <v>13454</v>
      </c>
      <c r="AI6" s="4">
        <v>13538</v>
      </c>
      <c r="AJ6" s="4">
        <v>13608</v>
      </c>
      <c r="AK6" s="4">
        <v>13385</v>
      </c>
      <c r="AL6" s="4">
        <v>13463</v>
      </c>
      <c r="AM6" s="4">
        <v>13243</v>
      </c>
      <c r="AO6" s="4">
        <v>13345</v>
      </c>
      <c r="AP6" s="4">
        <v>13264</v>
      </c>
      <c r="AQ6" s="4">
        <v>13796</v>
      </c>
      <c r="AR6" s="4">
        <v>13279</v>
      </c>
      <c r="AS6" s="4">
        <v>13174</v>
      </c>
      <c r="AT6" s="4">
        <v>13108</v>
      </c>
      <c r="AV6" s="4">
        <v>13386</v>
      </c>
      <c r="AW6" s="4">
        <v>12956</v>
      </c>
      <c r="AX6" s="4">
        <v>12914</v>
      </c>
      <c r="AY6" s="4">
        <v>12973</v>
      </c>
      <c r="AZ6" s="4">
        <v>13194</v>
      </c>
      <c r="BA6" s="4">
        <v>13483</v>
      </c>
      <c r="BC6" s="4">
        <v>12860</v>
      </c>
      <c r="BD6" s="4">
        <v>12747</v>
      </c>
      <c r="BE6" s="4">
        <v>12370</v>
      </c>
      <c r="BF6" s="4">
        <v>12836</v>
      </c>
      <c r="BG6" s="4">
        <v>12619</v>
      </c>
      <c r="BH6" s="4">
        <v>12764</v>
      </c>
      <c r="BJ6" s="4">
        <v>12198</v>
      </c>
      <c r="BK6" s="4">
        <v>12485</v>
      </c>
      <c r="BL6" s="4">
        <v>12467</v>
      </c>
      <c r="BM6" s="4">
        <v>12774</v>
      </c>
      <c r="BN6" s="4">
        <v>12284</v>
      </c>
      <c r="BO6" s="4">
        <v>12351</v>
      </c>
      <c r="BQ6" s="4">
        <v>12243</v>
      </c>
      <c r="BR6" s="4">
        <v>12569</v>
      </c>
      <c r="BS6" s="4">
        <v>12087</v>
      </c>
      <c r="BT6" s="4">
        <v>12110</v>
      </c>
      <c r="BU6" s="4">
        <v>12468</v>
      </c>
      <c r="BV6" s="4">
        <v>12345</v>
      </c>
      <c r="BX6" s="4">
        <v>12535</v>
      </c>
      <c r="BY6" s="4">
        <v>12112</v>
      </c>
      <c r="BZ6" s="4">
        <v>12385</v>
      </c>
      <c r="CA6" s="4">
        <v>12259</v>
      </c>
      <c r="CB6" s="4">
        <v>12400</v>
      </c>
      <c r="CC6" s="4">
        <v>12022</v>
      </c>
      <c r="CE6" s="4">
        <v>12281</v>
      </c>
      <c r="CF6" s="4">
        <v>12302</v>
      </c>
      <c r="CG6" s="4">
        <v>13147</v>
      </c>
      <c r="CH6" s="4">
        <v>12106</v>
      </c>
      <c r="CI6" s="4">
        <v>12166</v>
      </c>
      <c r="CJ6" s="4">
        <v>12123</v>
      </c>
      <c r="CL6" s="4">
        <v>11977</v>
      </c>
      <c r="CM6" s="4">
        <v>11957</v>
      </c>
      <c r="CN6" s="4">
        <v>11907</v>
      </c>
      <c r="CO6" s="4">
        <v>12028</v>
      </c>
      <c r="CP6" s="4">
        <v>12140</v>
      </c>
      <c r="CQ6" s="4">
        <v>12023</v>
      </c>
      <c r="CS6" s="4">
        <v>11652</v>
      </c>
      <c r="CT6" s="4">
        <v>11673</v>
      </c>
      <c r="CU6" s="4">
        <v>11816</v>
      </c>
      <c r="CV6" s="4">
        <v>11862</v>
      </c>
      <c r="CW6" s="4">
        <v>11738</v>
      </c>
      <c r="CX6" s="4">
        <v>12036</v>
      </c>
      <c r="CZ6" s="4">
        <v>11549</v>
      </c>
      <c r="DA6" s="4">
        <v>11622</v>
      </c>
      <c r="DB6" s="4">
        <v>11648</v>
      </c>
      <c r="DC6" s="4">
        <v>11704</v>
      </c>
      <c r="DD6" s="4">
        <v>11579</v>
      </c>
      <c r="DE6" s="4">
        <v>11973</v>
      </c>
      <c r="DG6" s="4">
        <v>11653</v>
      </c>
      <c r="DH6" s="4">
        <v>11657</v>
      </c>
      <c r="DI6" s="4">
        <v>11484</v>
      </c>
      <c r="DJ6" s="4">
        <v>11626</v>
      </c>
      <c r="DK6" s="4">
        <v>11411</v>
      </c>
      <c r="DL6" s="4">
        <v>11507</v>
      </c>
      <c r="DO6" s="4">
        <v>11343</v>
      </c>
      <c r="DP6" s="4">
        <v>11292</v>
      </c>
      <c r="DQ6" s="4">
        <v>11360</v>
      </c>
      <c r="DR6" s="4">
        <v>11350</v>
      </c>
      <c r="DS6" s="4">
        <v>11804</v>
      </c>
      <c r="DT6" s="4">
        <v>11628</v>
      </c>
    </row>
    <row r="7" s="4" customFormat="1" spans="3:124">
      <c r="C7" s="4">
        <v>16826</v>
      </c>
      <c r="D7" s="4">
        <v>17468</v>
      </c>
      <c r="E7" s="4">
        <v>16848</v>
      </c>
      <c r="F7" s="4">
        <v>16892</v>
      </c>
      <c r="G7" s="4">
        <v>17136</v>
      </c>
      <c r="H7" s="4">
        <v>17477</v>
      </c>
      <c r="J7" s="4">
        <v>17993</v>
      </c>
      <c r="K7" s="4">
        <v>17333</v>
      </c>
      <c r="L7" s="4">
        <v>17458</v>
      </c>
      <c r="M7" s="4">
        <v>17503</v>
      </c>
      <c r="N7" s="4">
        <v>17811</v>
      </c>
      <c r="O7" s="4">
        <v>17382</v>
      </c>
      <c r="Q7" s="4">
        <v>17682</v>
      </c>
      <c r="R7" s="4">
        <v>18197</v>
      </c>
      <c r="S7" s="4">
        <v>17286</v>
      </c>
      <c r="T7" s="4">
        <v>17709</v>
      </c>
      <c r="U7" s="4">
        <v>17672</v>
      </c>
      <c r="V7" s="4">
        <v>17773</v>
      </c>
      <c r="Z7" s="4">
        <v>17433</v>
      </c>
      <c r="AA7" s="4">
        <v>17533</v>
      </c>
      <c r="AB7" s="4">
        <v>17353</v>
      </c>
      <c r="AC7" s="4">
        <v>17814</v>
      </c>
      <c r="AD7" s="4">
        <v>17565</v>
      </c>
      <c r="AE7" s="4">
        <v>17769</v>
      </c>
      <c r="AH7" s="4">
        <v>17386</v>
      </c>
      <c r="AI7" s="4">
        <v>17610</v>
      </c>
      <c r="AJ7" s="4">
        <v>17744</v>
      </c>
      <c r="AK7" s="4">
        <v>17396</v>
      </c>
      <c r="AL7" s="4">
        <v>17517</v>
      </c>
      <c r="AM7" s="4">
        <v>17291</v>
      </c>
      <c r="AO7" s="4">
        <v>17495</v>
      </c>
      <c r="AP7" s="4">
        <v>17278</v>
      </c>
      <c r="AQ7" s="4">
        <v>17755</v>
      </c>
      <c r="AR7" s="4">
        <v>17294</v>
      </c>
      <c r="AS7" s="4">
        <v>17251</v>
      </c>
      <c r="AT7" s="4">
        <v>17117</v>
      </c>
      <c r="AV7" s="4">
        <v>18085</v>
      </c>
      <c r="AW7" s="4">
        <v>17417</v>
      </c>
      <c r="AX7" s="4">
        <v>17304</v>
      </c>
      <c r="AY7" s="4">
        <v>17368</v>
      </c>
      <c r="AZ7" s="4">
        <v>17883</v>
      </c>
      <c r="BA7" s="4">
        <v>18429</v>
      </c>
      <c r="BC7" s="4">
        <v>17315</v>
      </c>
      <c r="BD7" s="4">
        <v>17431</v>
      </c>
      <c r="BE7" s="4">
        <v>16785</v>
      </c>
      <c r="BF7" s="4">
        <v>17514</v>
      </c>
      <c r="BG7" s="4">
        <v>17213</v>
      </c>
      <c r="BH7" s="4">
        <v>17324</v>
      </c>
      <c r="BJ7" s="4">
        <v>16686</v>
      </c>
      <c r="BK7" s="4">
        <v>17180</v>
      </c>
      <c r="BL7" s="4">
        <v>16974</v>
      </c>
      <c r="BM7" s="4">
        <v>17061</v>
      </c>
      <c r="BN7" s="4">
        <v>16656</v>
      </c>
      <c r="BO7" s="4">
        <v>17049</v>
      </c>
      <c r="BQ7" s="4">
        <v>16568</v>
      </c>
      <c r="BR7" s="4">
        <v>17280</v>
      </c>
      <c r="BS7" s="4">
        <v>16395</v>
      </c>
      <c r="BT7" s="4">
        <v>16470</v>
      </c>
      <c r="BU7" s="4">
        <v>17036</v>
      </c>
      <c r="BV7" s="4">
        <v>17126</v>
      </c>
      <c r="BX7" s="4">
        <v>17059</v>
      </c>
      <c r="BY7" s="4">
        <v>16285</v>
      </c>
      <c r="BZ7" s="4">
        <v>16726</v>
      </c>
      <c r="CA7" s="4">
        <v>16619</v>
      </c>
      <c r="CB7" s="4">
        <v>16728</v>
      </c>
      <c r="CC7" s="4">
        <v>16328</v>
      </c>
      <c r="CE7" s="4">
        <v>16989</v>
      </c>
      <c r="CF7" s="4">
        <v>17141</v>
      </c>
      <c r="CG7" s="4">
        <v>17756</v>
      </c>
      <c r="CH7" s="4">
        <v>16839</v>
      </c>
      <c r="CI7" s="4">
        <v>16654</v>
      </c>
      <c r="CJ7" s="4">
        <v>16717</v>
      </c>
      <c r="CL7" s="4">
        <v>16371</v>
      </c>
      <c r="CM7" s="4">
        <v>16279</v>
      </c>
      <c r="CN7" s="4">
        <v>16097</v>
      </c>
      <c r="CO7" s="4">
        <v>16186</v>
      </c>
      <c r="CP7" s="4">
        <v>16486</v>
      </c>
      <c r="CQ7" s="4">
        <v>16586</v>
      </c>
      <c r="CS7" s="4">
        <v>16296</v>
      </c>
      <c r="CT7" s="4">
        <v>16250</v>
      </c>
      <c r="CU7" s="4">
        <v>16653</v>
      </c>
      <c r="CV7" s="4">
        <v>16436</v>
      </c>
      <c r="CW7" s="4">
        <v>16361</v>
      </c>
      <c r="CX7" s="4">
        <v>16956</v>
      </c>
      <c r="CZ7" s="4">
        <v>16282</v>
      </c>
      <c r="DA7" s="4">
        <v>16072</v>
      </c>
      <c r="DB7" s="4">
        <v>16178</v>
      </c>
      <c r="DC7" s="4">
        <v>16079</v>
      </c>
      <c r="DD7" s="4">
        <v>16160</v>
      </c>
      <c r="DE7" s="4">
        <v>16882</v>
      </c>
      <c r="DG7" s="4">
        <v>16179</v>
      </c>
      <c r="DH7" s="4">
        <v>16231</v>
      </c>
      <c r="DI7" s="4">
        <v>16034</v>
      </c>
      <c r="DJ7" s="4">
        <v>16313</v>
      </c>
      <c r="DK7" s="4">
        <v>16196</v>
      </c>
      <c r="DL7" s="4">
        <v>16162</v>
      </c>
      <c r="DO7" s="4">
        <v>16034</v>
      </c>
      <c r="DP7" s="4">
        <v>15843</v>
      </c>
      <c r="DQ7" s="4">
        <v>15842</v>
      </c>
      <c r="DR7" s="4">
        <v>15938</v>
      </c>
      <c r="DS7" s="4">
        <v>16820</v>
      </c>
      <c r="DT7" s="4">
        <v>16675</v>
      </c>
    </row>
    <row r="8" s="4" customFormat="1" spans="3:124">
      <c r="C8" s="4">
        <v>22353</v>
      </c>
      <c r="D8" s="4">
        <v>23158</v>
      </c>
      <c r="E8" s="4">
        <v>22366</v>
      </c>
      <c r="F8" s="4">
        <v>22449</v>
      </c>
      <c r="G8" s="4">
        <v>22767</v>
      </c>
      <c r="H8" s="4">
        <v>23182</v>
      </c>
      <c r="J8" s="4">
        <v>23798</v>
      </c>
      <c r="K8" s="4">
        <v>22984</v>
      </c>
      <c r="L8" s="4">
        <v>23145</v>
      </c>
      <c r="M8" s="4">
        <v>23201</v>
      </c>
      <c r="N8" s="4">
        <v>23586</v>
      </c>
      <c r="O8" s="4">
        <v>23049</v>
      </c>
      <c r="Q8" s="4">
        <v>23435</v>
      </c>
      <c r="R8" s="4">
        <v>24063</v>
      </c>
      <c r="S8" s="4">
        <v>22946</v>
      </c>
      <c r="T8" s="4">
        <v>23442</v>
      </c>
      <c r="U8" s="4">
        <v>23405</v>
      </c>
      <c r="V8" s="4">
        <v>23544</v>
      </c>
      <c r="Z8" s="4">
        <v>23082</v>
      </c>
      <c r="AA8" s="4">
        <v>23173</v>
      </c>
      <c r="AB8" s="4">
        <v>22959</v>
      </c>
      <c r="AC8" s="4">
        <v>23567</v>
      </c>
      <c r="AD8" s="4">
        <v>23249</v>
      </c>
      <c r="AE8" s="4">
        <v>23532</v>
      </c>
      <c r="AH8" s="4">
        <v>22977</v>
      </c>
      <c r="AI8" s="4">
        <v>23281</v>
      </c>
      <c r="AJ8" s="4">
        <v>23455</v>
      </c>
      <c r="AK8" s="4">
        <v>23043</v>
      </c>
      <c r="AL8" s="4">
        <v>23164</v>
      </c>
      <c r="AM8" s="4">
        <v>22888</v>
      </c>
      <c r="AO8" s="4">
        <v>23154</v>
      </c>
      <c r="AP8" s="4">
        <v>22861</v>
      </c>
      <c r="AQ8" s="4">
        <v>23498</v>
      </c>
      <c r="AR8" s="4">
        <v>22948</v>
      </c>
      <c r="AS8" s="4">
        <v>22853</v>
      </c>
      <c r="AT8" s="4">
        <v>22670</v>
      </c>
      <c r="AV8" s="4">
        <v>23882</v>
      </c>
      <c r="AW8" s="4">
        <v>23051</v>
      </c>
      <c r="AX8" s="4">
        <v>22905</v>
      </c>
      <c r="AY8" s="4">
        <v>22982</v>
      </c>
      <c r="AZ8" s="4">
        <v>23644</v>
      </c>
      <c r="BA8" s="4">
        <v>24345</v>
      </c>
      <c r="BC8" s="4">
        <v>22925</v>
      </c>
      <c r="BD8" s="4">
        <v>23102</v>
      </c>
      <c r="BE8" s="4">
        <v>22278</v>
      </c>
      <c r="BF8" s="4">
        <v>23188</v>
      </c>
      <c r="BG8" s="4">
        <v>22836</v>
      </c>
      <c r="BH8" s="4">
        <v>22958</v>
      </c>
      <c r="BJ8" s="4">
        <v>22188</v>
      </c>
      <c r="BK8" s="4">
        <v>22795</v>
      </c>
      <c r="BL8" s="4">
        <v>22520</v>
      </c>
      <c r="BM8" s="4">
        <v>22647</v>
      </c>
      <c r="BN8" s="4">
        <v>22114</v>
      </c>
      <c r="BO8" s="4">
        <v>22623</v>
      </c>
      <c r="BQ8" s="4">
        <v>21990</v>
      </c>
      <c r="BR8" s="4">
        <v>22900</v>
      </c>
      <c r="BS8" s="4">
        <v>21790</v>
      </c>
      <c r="BT8" s="4">
        <v>21900</v>
      </c>
      <c r="BU8" s="4">
        <v>22622</v>
      </c>
      <c r="BV8" s="4">
        <v>22703</v>
      </c>
      <c r="BX8" s="4">
        <v>22617</v>
      </c>
      <c r="BY8" s="4">
        <v>21637</v>
      </c>
      <c r="BZ8" s="4">
        <v>22205</v>
      </c>
      <c r="CA8" s="4">
        <v>22047</v>
      </c>
      <c r="CB8" s="4">
        <v>22203</v>
      </c>
      <c r="CC8" s="4">
        <v>21696</v>
      </c>
      <c r="CE8" s="4">
        <v>22524</v>
      </c>
      <c r="CF8" s="4">
        <v>22761</v>
      </c>
      <c r="CG8" s="4">
        <v>23492</v>
      </c>
      <c r="CH8" s="4">
        <v>22363</v>
      </c>
      <c r="CI8" s="4">
        <v>22135</v>
      </c>
      <c r="CJ8" s="4">
        <v>22203</v>
      </c>
      <c r="CL8" s="4">
        <v>21736</v>
      </c>
      <c r="CM8" s="4">
        <v>21609</v>
      </c>
      <c r="CN8" s="4">
        <v>21371</v>
      </c>
      <c r="CO8" s="4">
        <v>21503</v>
      </c>
      <c r="CP8" s="4">
        <v>21898</v>
      </c>
      <c r="CQ8" s="4">
        <v>21973</v>
      </c>
      <c r="CS8" s="4">
        <v>21634</v>
      </c>
      <c r="CT8" s="4">
        <v>21618</v>
      </c>
      <c r="CU8" s="4">
        <v>22129</v>
      </c>
      <c r="CV8" s="4">
        <v>21864</v>
      </c>
      <c r="CW8" s="4">
        <v>21734</v>
      </c>
      <c r="CX8" s="4">
        <v>22502</v>
      </c>
      <c r="CZ8" s="4">
        <v>21639</v>
      </c>
      <c r="DA8" s="4">
        <v>21337</v>
      </c>
      <c r="DB8" s="4">
        <v>21526</v>
      </c>
      <c r="DC8" s="4">
        <v>21381</v>
      </c>
      <c r="DD8" s="4">
        <v>21473</v>
      </c>
      <c r="DE8" s="4">
        <v>22397</v>
      </c>
      <c r="DG8" s="4">
        <v>21522</v>
      </c>
      <c r="DH8" s="4">
        <v>21566</v>
      </c>
      <c r="DI8" s="4">
        <v>21381</v>
      </c>
      <c r="DJ8" s="4">
        <v>21702</v>
      </c>
      <c r="DK8" s="4">
        <v>21558</v>
      </c>
      <c r="DL8" s="4">
        <v>21506</v>
      </c>
      <c r="DO8" s="4">
        <v>21355</v>
      </c>
      <c r="DP8" s="4">
        <v>21130</v>
      </c>
      <c r="DQ8" s="4">
        <v>21063</v>
      </c>
      <c r="DR8" s="4">
        <v>21207</v>
      </c>
      <c r="DS8" s="4">
        <v>22341</v>
      </c>
      <c r="DT8" s="4">
        <v>22178</v>
      </c>
    </row>
    <row r="9" s="4" customFormat="1" spans="3:124">
      <c r="C9" s="4">
        <v>8949</v>
      </c>
      <c r="D9" s="4">
        <v>9332</v>
      </c>
      <c r="E9" s="4">
        <v>8973</v>
      </c>
      <c r="F9" s="4">
        <v>8988</v>
      </c>
      <c r="G9" s="4">
        <v>9158</v>
      </c>
      <c r="H9" s="4">
        <v>9344</v>
      </c>
      <c r="J9" s="4">
        <v>9620</v>
      </c>
      <c r="K9" s="4">
        <v>9246</v>
      </c>
      <c r="L9" s="4">
        <v>9304</v>
      </c>
      <c r="M9" s="4">
        <v>9344</v>
      </c>
      <c r="N9" s="4">
        <v>9519</v>
      </c>
      <c r="O9" s="4">
        <v>9278</v>
      </c>
      <c r="Q9" s="4">
        <v>9436</v>
      </c>
      <c r="R9" s="4">
        <v>9729</v>
      </c>
      <c r="S9" s="4">
        <v>9209</v>
      </c>
      <c r="T9" s="4">
        <v>9456</v>
      </c>
      <c r="U9" s="4">
        <v>9430</v>
      </c>
      <c r="V9" s="4">
        <v>9490</v>
      </c>
      <c r="Z9" s="4">
        <v>9278</v>
      </c>
      <c r="AA9" s="4">
        <v>9325</v>
      </c>
      <c r="AB9" s="4">
        <v>9212</v>
      </c>
      <c r="AC9" s="4">
        <v>9483</v>
      </c>
      <c r="AD9" s="4">
        <v>9353</v>
      </c>
      <c r="AE9" s="4">
        <v>9468</v>
      </c>
      <c r="AH9" s="4">
        <v>9233</v>
      </c>
      <c r="AI9" s="4">
        <v>9370</v>
      </c>
      <c r="AJ9" s="4">
        <v>9441</v>
      </c>
      <c r="AK9" s="4">
        <v>9261</v>
      </c>
      <c r="AL9" s="4">
        <v>9336</v>
      </c>
      <c r="AM9" s="4">
        <v>9187</v>
      </c>
      <c r="AO9" s="4">
        <v>9285</v>
      </c>
      <c r="AP9" s="4">
        <v>9188</v>
      </c>
      <c r="AQ9" s="4">
        <v>9474</v>
      </c>
      <c r="AR9" s="4">
        <v>9185</v>
      </c>
      <c r="AS9" s="4">
        <v>9170</v>
      </c>
      <c r="AT9" s="4">
        <v>9078</v>
      </c>
      <c r="AV9" s="4">
        <v>9666</v>
      </c>
      <c r="AW9" s="4">
        <v>9270</v>
      </c>
      <c r="AX9" s="4">
        <v>9192</v>
      </c>
      <c r="AY9" s="4">
        <v>9244</v>
      </c>
      <c r="AZ9" s="4">
        <v>9538</v>
      </c>
      <c r="BA9" s="4">
        <v>9853</v>
      </c>
      <c r="BC9" s="4">
        <v>9217</v>
      </c>
      <c r="BD9" s="4">
        <v>9282</v>
      </c>
      <c r="BE9" s="4">
        <v>8903</v>
      </c>
      <c r="BF9" s="4">
        <v>9320</v>
      </c>
      <c r="BG9" s="4">
        <v>9152</v>
      </c>
      <c r="BH9" s="4">
        <v>9202</v>
      </c>
      <c r="BJ9" s="4">
        <v>8842</v>
      </c>
      <c r="BK9" s="4">
        <v>9118</v>
      </c>
      <c r="BL9" s="4">
        <v>8995</v>
      </c>
      <c r="BM9" s="4">
        <v>9056</v>
      </c>
      <c r="BN9" s="4">
        <v>8840</v>
      </c>
      <c r="BO9" s="4">
        <v>9055</v>
      </c>
      <c r="BQ9" s="4">
        <v>8772</v>
      </c>
      <c r="BR9" s="4">
        <v>9158</v>
      </c>
      <c r="BS9" s="4">
        <v>8658</v>
      </c>
      <c r="BT9" s="4">
        <v>8707</v>
      </c>
      <c r="BU9" s="4">
        <v>9035</v>
      </c>
      <c r="BV9" s="4">
        <v>9081</v>
      </c>
      <c r="BX9" s="4">
        <v>9036</v>
      </c>
      <c r="BY9" s="4">
        <v>8586</v>
      </c>
      <c r="BZ9" s="4">
        <v>8832</v>
      </c>
      <c r="CA9" s="4">
        <v>8796</v>
      </c>
      <c r="CB9" s="4">
        <v>8837</v>
      </c>
      <c r="CC9" s="4">
        <v>8603</v>
      </c>
      <c r="CE9" s="4">
        <v>9024</v>
      </c>
      <c r="CF9" s="4">
        <v>9109</v>
      </c>
      <c r="CG9" s="4">
        <v>9455</v>
      </c>
      <c r="CH9" s="4">
        <v>8917</v>
      </c>
      <c r="CI9" s="4">
        <v>8831</v>
      </c>
      <c r="CJ9" s="4">
        <v>8869</v>
      </c>
      <c r="CL9" s="4">
        <v>8628</v>
      </c>
      <c r="CM9" s="4">
        <v>8589</v>
      </c>
      <c r="CN9" s="4">
        <v>8477</v>
      </c>
      <c r="CO9" s="4">
        <v>8504</v>
      </c>
      <c r="CP9" s="4">
        <v>8696</v>
      </c>
      <c r="CQ9" s="4">
        <v>8780</v>
      </c>
      <c r="CS9" s="4">
        <v>8576</v>
      </c>
      <c r="CT9" s="4">
        <v>8570</v>
      </c>
      <c r="CU9" s="4">
        <v>8803</v>
      </c>
      <c r="CV9" s="4">
        <v>8633</v>
      </c>
      <c r="CW9" s="4">
        <v>8617</v>
      </c>
      <c r="CX9" s="4">
        <v>8979</v>
      </c>
      <c r="CZ9" s="4">
        <v>8620</v>
      </c>
      <c r="DA9" s="4">
        <v>8469</v>
      </c>
      <c r="DB9" s="4">
        <v>8517</v>
      </c>
      <c r="DC9" s="4">
        <v>8477</v>
      </c>
      <c r="DD9" s="4">
        <v>8523</v>
      </c>
      <c r="DE9" s="4">
        <v>8934</v>
      </c>
      <c r="DG9" s="4">
        <v>8532</v>
      </c>
      <c r="DH9" s="4">
        <v>8545</v>
      </c>
      <c r="DI9" s="4">
        <v>8434</v>
      </c>
      <c r="DJ9" s="4">
        <v>8627</v>
      </c>
      <c r="DK9" s="4">
        <v>8564</v>
      </c>
      <c r="DL9" s="4">
        <v>8530</v>
      </c>
      <c r="DO9" s="4">
        <v>8455</v>
      </c>
      <c r="DP9" s="4">
        <v>8346</v>
      </c>
      <c r="DQ9" s="4">
        <v>8362</v>
      </c>
      <c r="DR9" s="4">
        <v>8397</v>
      </c>
      <c r="DS9" s="4">
        <v>8913</v>
      </c>
      <c r="DT9" s="4">
        <v>8782</v>
      </c>
    </row>
    <row r="10" s="4" customFormat="1" spans="3:124">
      <c r="C10" s="4">
        <v>20448</v>
      </c>
      <c r="D10" s="4">
        <v>21171</v>
      </c>
      <c r="E10" s="4">
        <v>20454</v>
      </c>
      <c r="F10" s="4">
        <v>20534</v>
      </c>
      <c r="G10" s="4">
        <v>20833</v>
      </c>
      <c r="H10" s="4">
        <v>21202</v>
      </c>
      <c r="J10" s="4">
        <v>21827</v>
      </c>
      <c r="K10" s="4">
        <v>21059</v>
      </c>
      <c r="L10" s="4">
        <v>21220</v>
      </c>
      <c r="M10" s="4">
        <v>21270</v>
      </c>
      <c r="N10" s="4">
        <v>21615</v>
      </c>
      <c r="O10" s="4">
        <v>21144</v>
      </c>
      <c r="Q10" s="4">
        <v>21495</v>
      </c>
      <c r="R10" s="4">
        <v>22048</v>
      </c>
      <c r="S10" s="4">
        <v>21033</v>
      </c>
      <c r="T10" s="4">
        <v>21469</v>
      </c>
      <c r="U10" s="4">
        <v>21456</v>
      </c>
      <c r="V10" s="4">
        <v>21588</v>
      </c>
      <c r="Z10" s="4">
        <v>21185</v>
      </c>
      <c r="AA10" s="4">
        <v>21254</v>
      </c>
      <c r="AB10" s="4">
        <v>21062</v>
      </c>
      <c r="AC10" s="4">
        <v>21641</v>
      </c>
      <c r="AD10" s="4">
        <v>21331</v>
      </c>
      <c r="AE10" s="4">
        <v>21612</v>
      </c>
      <c r="AH10" s="4">
        <v>21052</v>
      </c>
      <c r="AI10" s="4">
        <v>21327</v>
      </c>
      <c r="AJ10" s="4">
        <v>21492</v>
      </c>
      <c r="AK10" s="4">
        <v>21117</v>
      </c>
      <c r="AL10" s="4">
        <v>21222</v>
      </c>
      <c r="AM10" s="4">
        <v>20988</v>
      </c>
      <c r="AO10" s="4">
        <v>21252</v>
      </c>
      <c r="AP10" s="4">
        <v>20983</v>
      </c>
      <c r="AQ10" s="4">
        <v>21541</v>
      </c>
      <c r="AR10" s="4">
        <v>21046</v>
      </c>
      <c r="AS10" s="4">
        <v>20983</v>
      </c>
      <c r="AT10" s="4">
        <v>20805</v>
      </c>
      <c r="AV10" s="4">
        <v>21914</v>
      </c>
      <c r="AW10" s="4">
        <v>21144</v>
      </c>
      <c r="AX10" s="4">
        <v>21014</v>
      </c>
      <c r="AY10" s="4">
        <v>21076</v>
      </c>
      <c r="AZ10" s="4">
        <v>21677</v>
      </c>
      <c r="BA10" s="4">
        <v>22345</v>
      </c>
      <c r="BC10" s="4">
        <v>21043</v>
      </c>
      <c r="BD10" s="4">
        <v>21221</v>
      </c>
      <c r="BE10" s="4">
        <v>20463</v>
      </c>
      <c r="BF10" s="4">
        <v>21294</v>
      </c>
      <c r="BG10" s="4">
        <v>20964</v>
      </c>
      <c r="BH10" s="4">
        <v>21063</v>
      </c>
      <c r="BJ10" s="4">
        <v>20373</v>
      </c>
      <c r="BK10" s="4">
        <v>20934</v>
      </c>
      <c r="BL10" s="4">
        <v>20655</v>
      </c>
      <c r="BM10" s="4">
        <v>20792</v>
      </c>
      <c r="BN10" s="4">
        <v>20310</v>
      </c>
      <c r="BO10" s="4">
        <v>20789</v>
      </c>
      <c r="BQ10" s="4">
        <v>20202</v>
      </c>
      <c r="BR10" s="4">
        <v>21050</v>
      </c>
      <c r="BS10" s="4">
        <v>20022</v>
      </c>
      <c r="BT10" s="4">
        <v>20108</v>
      </c>
      <c r="BU10" s="4">
        <v>20788</v>
      </c>
      <c r="BV10" s="4">
        <v>20863</v>
      </c>
      <c r="BX10" s="4">
        <v>20764</v>
      </c>
      <c r="BY10" s="4">
        <v>19861</v>
      </c>
      <c r="BZ10" s="4">
        <v>20389</v>
      </c>
      <c r="CA10" s="4">
        <v>20232</v>
      </c>
      <c r="CB10" s="4">
        <v>20388</v>
      </c>
      <c r="CC10" s="4">
        <v>19942</v>
      </c>
      <c r="CE10" s="4">
        <v>20684</v>
      </c>
      <c r="CF10" s="4">
        <v>20916</v>
      </c>
      <c r="CG10" s="4">
        <v>21550</v>
      </c>
      <c r="CH10" s="4">
        <v>20550</v>
      </c>
      <c r="CI10" s="4">
        <v>20328</v>
      </c>
      <c r="CJ10" s="4">
        <v>20392</v>
      </c>
      <c r="CL10" s="4">
        <v>19974</v>
      </c>
      <c r="CM10" s="4">
        <v>19864</v>
      </c>
      <c r="CN10" s="4">
        <v>19643</v>
      </c>
      <c r="CO10" s="4">
        <v>19753</v>
      </c>
      <c r="CP10" s="4">
        <v>20106</v>
      </c>
      <c r="CQ10" s="4">
        <v>20186</v>
      </c>
      <c r="CS10" s="4">
        <v>19886</v>
      </c>
      <c r="CT10" s="4">
        <v>19867</v>
      </c>
      <c r="CU10" s="4">
        <v>20345</v>
      </c>
      <c r="CV10" s="4">
        <v>20093</v>
      </c>
      <c r="CW10" s="4">
        <v>19985</v>
      </c>
      <c r="CX10" s="4">
        <v>20693</v>
      </c>
      <c r="CZ10" s="4">
        <v>19901</v>
      </c>
      <c r="DA10" s="4">
        <v>19623</v>
      </c>
      <c r="DB10" s="4">
        <v>19774</v>
      </c>
      <c r="DC10" s="4">
        <v>19649</v>
      </c>
      <c r="DD10" s="4">
        <v>19736</v>
      </c>
      <c r="DE10" s="4">
        <v>20600</v>
      </c>
      <c r="DG10" s="4">
        <v>19797</v>
      </c>
      <c r="DH10" s="4">
        <v>19871</v>
      </c>
      <c r="DI10" s="4">
        <v>19673</v>
      </c>
      <c r="DJ10" s="4">
        <v>19958</v>
      </c>
      <c r="DK10" s="4">
        <v>19838</v>
      </c>
      <c r="DL10" s="4">
        <v>19800</v>
      </c>
      <c r="DO10" s="4">
        <v>19639</v>
      </c>
      <c r="DP10" s="4">
        <v>19449</v>
      </c>
      <c r="DQ10" s="4">
        <v>19370</v>
      </c>
      <c r="DR10" s="4">
        <v>19493</v>
      </c>
      <c r="DS10" s="4">
        <v>20545</v>
      </c>
      <c r="DT10" s="4">
        <v>20416</v>
      </c>
    </row>
    <row r="11" s="4" customFormat="1" spans="3:124">
      <c r="C11" s="4">
        <v>15245</v>
      </c>
      <c r="D11" s="4">
        <v>15769</v>
      </c>
      <c r="E11" s="4">
        <v>15269</v>
      </c>
      <c r="F11" s="4">
        <v>15342</v>
      </c>
      <c r="G11" s="4">
        <v>15526</v>
      </c>
      <c r="H11" s="4">
        <v>15786</v>
      </c>
      <c r="J11" s="4">
        <v>16246</v>
      </c>
      <c r="K11" s="4">
        <v>15690</v>
      </c>
      <c r="L11" s="4">
        <v>15825</v>
      </c>
      <c r="M11" s="4">
        <v>15847</v>
      </c>
      <c r="N11" s="4">
        <v>16090</v>
      </c>
      <c r="O11" s="4">
        <v>15742</v>
      </c>
      <c r="Q11" s="4">
        <v>15966</v>
      </c>
      <c r="R11" s="4">
        <v>16392</v>
      </c>
      <c r="S11" s="4">
        <v>15649</v>
      </c>
      <c r="T11" s="4">
        <v>15966</v>
      </c>
      <c r="U11" s="4">
        <v>15962</v>
      </c>
      <c r="V11" s="4">
        <v>16058</v>
      </c>
      <c r="Z11" s="4">
        <v>15791</v>
      </c>
      <c r="AA11" s="4">
        <v>15874</v>
      </c>
      <c r="AB11" s="4">
        <v>15734</v>
      </c>
      <c r="AC11" s="4">
        <v>16144</v>
      </c>
      <c r="AD11" s="4">
        <v>15926</v>
      </c>
      <c r="AE11" s="4">
        <v>16105</v>
      </c>
      <c r="AH11" s="4">
        <v>15668</v>
      </c>
      <c r="AI11" s="4">
        <v>15842</v>
      </c>
      <c r="AJ11" s="4">
        <v>15988</v>
      </c>
      <c r="AK11" s="4">
        <v>15679</v>
      </c>
      <c r="AL11" s="4">
        <v>15769</v>
      </c>
      <c r="AM11" s="4">
        <v>15631</v>
      </c>
      <c r="AO11" s="4">
        <v>15842</v>
      </c>
      <c r="AP11" s="4">
        <v>15637</v>
      </c>
      <c r="AQ11" s="4">
        <v>16014</v>
      </c>
      <c r="AR11" s="4">
        <v>15666</v>
      </c>
      <c r="AS11" s="4">
        <v>15654</v>
      </c>
      <c r="AT11" s="4">
        <v>15531</v>
      </c>
      <c r="AV11" s="4">
        <v>16261</v>
      </c>
      <c r="AW11" s="4">
        <v>15722</v>
      </c>
      <c r="AX11" s="4">
        <v>15629</v>
      </c>
      <c r="AY11" s="4">
        <v>15679</v>
      </c>
      <c r="AZ11" s="4">
        <v>16086</v>
      </c>
      <c r="BA11" s="4">
        <v>16570</v>
      </c>
      <c r="BC11" s="4">
        <v>15631</v>
      </c>
      <c r="BD11" s="4">
        <v>15760</v>
      </c>
      <c r="BE11" s="4">
        <v>15231</v>
      </c>
      <c r="BF11" s="4">
        <v>15827</v>
      </c>
      <c r="BG11" s="4">
        <v>15598</v>
      </c>
      <c r="BH11" s="4">
        <v>15674</v>
      </c>
      <c r="BJ11" s="4">
        <v>15161</v>
      </c>
      <c r="BK11" s="4">
        <v>15556</v>
      </c>
      <c r="BL11" s="4">
        <v>15348</v>
      </c>
      <c r="BM11" s="4">
        <v>15475</v>
      </c>
      <c r="BN11" s="4">
        <v>15140</v>
      </c>
      <c r="BO11" s="4">
        <v>15467</v>
      </c>
      <c r="BQ11" s="4">
        <v>15093</v>
      </c>
      <c r="BR11" s="4">
        <v>15681</v>
      </c>
      <c r="BS11" s="4">
        <v>14960</v>
      </c>
      <c r="BT11" s="4">
        <v>15010</v>
      </c>
      <c r="BU11" s="4">
        <v>15488</v>
      </c>
      <c r="BV11" s="4">
        <v>15533</v>
      </c>
      <c r="BX11" s="4">
        <v>15464</v>
      </c>
      <c r="BY11" s="4">
        <v>14837</v>
      </c>
      <c r="BZ11" s="4">
        <v>15190</v>
      </c>
      <c r="CA11" s="4">
        <v>15090</v>
      </c>
      <c r="CB11" s="4">
        <v>15201</v>
      </c>
      <c r="CC11" s="4">
        <v>14899</v>
      </c>
      <c r="CE11" s="4">
        <v>15388</v>
      </c>
      <c r="CF11" s="4">
        <v>15539</v>
      </c>
      <c r="CG11" s="4">
        <v>15991</v>
      </c>
      <c r="CH11" s="4">
        <v>15303</v>
      </c>
      <c r="CI11" s="4">
        <v>15125</v>
      </c>
      <c r="CJ11" s="4">
        <v>15167</v>
      </c>
      <c r="CL11" s="4">
        <v>14929</v>
      </c>
      <c r="CM11" s="4">
        <v>14869</v>
      </c>
      <c r="CN11" s="4">
        <v>14710</v>
      </c>
      <c r="CO11" s="4">
        <v>14807</v>
      </c>
      <c r="CP11" s="4">
        <v>15023</v>
      </c>
      <c r="CQ11" s="4">
        <v>15083</v>
      </c>
      <c r="CS11" s="4">
        <v>14856</v>
      </c>
      <c r="CT11" s="4">
        <v>14807</v>
      </c>
      <c r="CU11" s="4">
        <v>15132</v>
      </c>
      <c r="CV11" s="4">
        <v>14968</v>
      </c>
      <c r="CW11" s="4">
        <v>14939</v>
      </c>
      <c r="CX11" s="4">
        <v>15412</v>
      </c>
      <c r="CZ11" s="4">
        <v>14850</v>
      </c>
      <c r="DA11" s="4">
        <v>14682</v>
      </c>
      <c r="DB11" s="4">
        <v>14782</v>
      </c>
      <c r="DC11" s="4">
        <v>14705</v>
      </c>
      <c r="DD11" s="4">
        <v>14761</v>
      </c>
      <c r="DE11" s="4">
        <v>15366</v>
      </c>
      <c r="DG11" s="4">
        <v>14853</v>
      </c>
      <c r="DH11" s="4">
        <v>14918</v>
      </c>
      <c r="DI11" s="4">
        <v>14741</v>
      </c>
      <c r="DJ11" s="4">
        <v>14882</v>
      </c>
      <c r="DK11" s="4">
        <v>14797</v>
      </c>
      <c r="DL11" s="4">
        <v>14789</v>
      </c>
      <c r="DO11" s="4">
        <v>14651</v>
      </c>
      <c r="DP11" s="4">
        <v>14519</v>
      </c>
      <c r="DQ11" s="4">
        <v>14475</v>
      </c>
      <c r="DR11" s="4">
        <v>14556</v>
      </c>
      <c r="DS11" s="4">
        <v>15292</v>
      </c>
      <c r="DT11" s="4">
        <v>15237</v>
      </c>
    </row>
    <row r="12" spans="3:124">
      <c r="C12">
        <v>8590</v>
      </c>
      <c r="D12">
        <v>8923</v>
      </c>
      <c r="E12">
        <v>8624</v>
      </c>
      <c r="F12">
        <v>8646</v>
      </c>
      <c r="G12">
        <v>8793</v>
      </c>
      <c r="H12">
        <v>8921</v>
      </c>
      <c r="J12">
        <v>9200</v>
      </c>
      <c r="K12">
        <v>8867</v>
      </c>
      <c r="L12">
        <v>8944</v>
      </c>
      <c r="M12">
        <v>8956</v>
      </c>
      <c r="N12">
        <v>9092</v>
      </c>
      <c r="O12">
        <v>8883</v>
      </c>
      <c r="Q12">
        <v>9023</v>
      </c>
      <c r="R12">
        <v>9267</v>
      </c>
      <c r="S12">
        <v>8795</v>
      </c>
      <c r="T12">
        <v>9013</v>
      </c>
      <c r="U12">
        <v>9011</v>
      </c>
      <c r="V12">
        <v>9085</v>
      </c>
      <c r="Z12">
        <v>8903</v>
      </c>
      <c r="AA12">
        <v>8967</v>
      </c>
      <c r="AB12">
        <v>8867</v>
      </c>
      <c r="AC12">
        <v>9085</v>
      </c>
      <c r="AD12">
        <v>8977</v>
      </c>
      <c r="AE12">
        <v>9082</v>
      </c>
      <c r="AH12">
        <v>8824</v>
      </c>
      <c r="AI12">
        <v>8930</v>
      </c>
      <c r="AJ12">
        <v>9011</v>
      </c>
      <c r="AK12">
        <v>8845</v>
      </c>
      <c r="AL12">
        <v>8892</v>
      </c>
      <c r="AM12">
        <v>8793</v>
      </c>
      <c r="AO12">
        <v>8920</v>
      </c>
      <c r="AP12">
        <v>8830</v>
      </c>
      <c r="AQ12">
        <v>9046</v>
      </c>
      <c r="AR12">
        <v>8824</v>
      </c>
      <c r="AS12">
        <v>8819</v>
      </c>
      <c r="AT12">
        <v>8737</v>
      </c>
      <c r="AV12">
        <v>9181</v>
      </c>
      <c r="AW12">
        <v>8844</v>
      </c>
      <c r="AX12">
        <v>8783</v>
      </c>
      <c r="AY12">
        <v>8823</v>
      </c>
      <c r="AZ12">
        <v>9065</v>
      </c>
      <c r="BA12">
        <v>9341</v>
      </c>
      <c r="BC12">
        <v>8803</v>
      </c>
      <c r="BD12">
        <v>8867</v>
      </c>
      <c r="BE12">
        <v>8542</v>
      </c>
      <c r="BF12">
        <v>8909</v>
      </c>
      <c r="BG12">
        <v>8751</v>
      </c>
      <c r="BH12">
        <v>8782</v>
      </c>
      <c r="BJ12">
        <v>8488</v>
      </c>
      <c r="BK12">
        <v>8717</v>
      </c>
      <c r="BL12">
        <v>8591</v>
      </c>
      <c r="BM12">
        <v>8673</v>
      </c>
      <c r="BN12">
        <v>8496</v>
      </c>
      <c r="BO12">
        <v>8671</v>
      </c>
      <c r="BQ12">
        <v>8475</v>
      </c>
      <c r="BR12">
        <v>8808</v>
      </c>
      <c r="BS12">
        <v>8376</v>
      </c>
      <c r="BT12">
        <v>8393</v>
      </c>
      <c r="BU12">
        <v>8686</v>
      </c>
      <c r="BV12">
        <v>8701</v>
      </c>
      <c r="BX12">
        <v>8688</v>
      </c>
      <c r="BY12">
        <v>8298</v>
      </c>
      <c r="BZ12">
        <v>8496</v>
      </c>
      <c r="CA12">
        <v>8457</v>
      </c>
      <c r="CB12">
        <v>8502</v>
      </c>
      <c r="CC12">
        <v>8320</v>
      </c>
      <c r="CE12">
        <v>8636</v>
      </c>
      <c r="CF12">
        <v>8708</v>
      </c>
      <c r="CG12">
        <v>8997</v>
      </c>
      <c r="CH12">
        <v>8548</v>
      </c>
      <c r="CI12">
        <v>8473</v>
      </c>
      <c r="CJ12">
        <v>8513</v>
      </c>
      <c r="CL12">
        <v>8332</v>
      </c>
      <c r="CM12">
        <v>8328</v>
      </c>
      <c r="CN12">
        <v>8229</v>
      </c>
      <c r="CO12">
        <v>8245</v>
      </c>
      <c r="CP12">
        <v>8399</v>
      </c>
      <c r="CQ12">
        <v>8450</v>
      </c>
      <c r="CS12">
        <v>8270</v>
      </c>
      <c r="CT12">
        <v>8250</v>
      </c>
      <c r="CU12">
        <v>8447</v>
      </c>
      <c r="CV12">
        <v>8303</v>
      </c>
      <c r="CW12">
        <v>8328</v>
      </c>
      <c r="CX12">
        <v>8634</v>
      </c>
      <c r="CZ12">
        <v>8316</v>
      </c>
      <c r="DA12">
        <v>8215</v>
      </c>
      <c r="DB12">
        <v>8259</v>
      </c>
      <c r="DC12">
        <v>8222</v>
      </c>
      <c r="DD12">
        <v>8256</v>
      </c>
      <c r="DE12">
        <v>8615</v>
      </c>
      <c r="DG12">
        <v>8292</v>
      </c>
      <c r="DH12">
        <v>8329</v>
      </c>
      <c r="DI12">
        <v>8196</v>
      </c>
      <c r="DJ12">
        <v>8316</v>
      </c>
      <c r="DK12">
        <v>8242</v>
      </c>
      <c r="DL12">
        <v>8262</v>
      </c>
      <c r="DO12">
        <v>8154</v>
      </c>
      <c r="DP12">
        <v>8088</v>
      </c>
      <c r="DQ12">
        <v>8085</v>
      </c>
      <c r="DR12">
        <v>8112</v>
      </c>
      <c r="DS12">
        <v>8553</v>
      </c>
      <c r="DT12">
        <v>8458</v>
      </c>
    </row>
    <row r="13" spans="3:124">
      <c r="C13">
        <v>3857</v>
      </c>
      <c r="D13">
        <v>4066</v>
      </c>
      <c r="E13">
        <v>3886</v>
      </c>
      <c r="F13">
        <v>3881</v>
      </c>
      <c r="G13">
        <v>3996</v>
      </c>
      <c r="H13">
        <v>4067</v>
      </c>
      <c r="J13">
        <v>4208</v>
      </c>
      <c r="K13">
        <v>4017</v>
      </c>
      <c r="L13">
        <v>4041</v>
      </c>
      <c r="M13">
        <v>4068</v>
      </c>
      <c r="N13">
        <v>4139</v>
      </c>
      <c r="O13">
        <v>4030</v>
      </c>
      <c r="Q13">
        <v>4106</v>
      </c>
      <c r="R13">
        <v>4248</v>
      </c>
      <c r="S13">
        <v>3964</v>
      </c>
      <c r="T13">
        <v>4108</v>
      </c>
      <c r="U13">
        <v>4093</v>
      </c>
      <c r="V13">
        <v>4132</v>
      </c>
      <c r="Z13">
        <v>4002</v>
      </c>
      <c r="AA13">
        <v>4034</v>
      </c>
      <c r="AB13">
        <v>3972</v>
      </c>
      <c r="AC13">
        <v>4095</v>
      </c>
      <c r="AD13">
        <v>4035</v>
      </c>
      <c r="AE13">
        <v>4098</v>
      </c>
      <c r="AH13">
        <v>3983</v>
      </c>
      <c r="AI13">
        <v>4047</v>
      </c>
      <c r="AJ13">
        <v>4080</v>
      </c>
      <c r="AK13">
        <v>3999</v>
      </c>
      <c r="AL13">
        <v>4030</v>
      </c>
      <c r="AM13">
        <v>3938</v>
      </c>
      <c r="AO13">
        <v>3997</v>
      </c>
      <c r="AP13">
        <v>3969</v>
      </c>
      <c r="AQ13">
        <v>4120</v>
      </c>
      <c r="AR13">
        <v>3969</v>
      </c>
      <c r="AS13">
        <v>3952</v>
      </c>
      <c r="AT13">
        <v>3898</v>
      </c>
      <c r="AV13">
        <v>4199</v>
      </c>
      <c r="AW13">
        <v>3986</v>
      </c>
      <c r="AX13">
        <v>3945</v>
      </c>
      <c r="AY13">
        <v>3977</v>
      </c>
      <c r="AZ13">
        <v>4129</v>
      </c>
      <c r="BA13">
        <v>4287</v>
      </c>
      <c r="BC13">
        <v>3975</v>
      </c>
      <c r="BD13">
        <v>3997</v>
      </c>
      <c r="BE13">
        <v>3794</v>
      </c>
      <c r="BF13">
        <v>4019</v>
      </c>
      <c r="BG13">
        <v>3927</v>
      </c>
      <c r="BH13">
        <v>3947</v>
      </c>
      <c r="BJ13">
        <v>3762</v>
      </c>
      <c r="BK13">
        <v>3889</v>
      </c>
      <c r="BL13">
        <v>3830</v>
      </c>
      <c r="BM13">
        <v>3870</v>
      </c>
      <c r="BN13">
        <v>3768</v>
      </c>
      <c r="BO13">
        <v>3867</v>
      </c>
      <c r="BQ13">
        <v>3738</v>
      </c>
      <c r="BR13">
        <v>3925</v>
      </c>
      <c r="BS13">
        <v>3658</v>
      </c>
      <c r="BT13">
        <v>3684</v>
      </c>
      <c r="BU13">
        <v>3865</v>
      </c>
      <c r="BV13">
        <v>3872</v>
      </c>
      <c r="BX13">
        <v>3862</v>
      </c>
      <c r="BY13">
        <v>3623</v>
      </c>
      <c r="BZ13">
        <v>3738</v>
      </c>
      <c r="CA13">
        <v>3731</v>
      </c>
      <c r="CB13">
        <v>3739</v>
      </c>
      <c r="CC13">
        <v>3625</v>
      </c>
      <c r="CE13">
        <v>3855</v>
      </c>
      <c r="CF13">
        <v>3885</v>
      </c>
      <c r="CG13">
        <v>4079</v>
      </c>
      <c r="CH13">
        <v>3779</v>
      </c>
      <c r="CI13">
        <v>3752</v>
      </c>
      <c r="CJ13">
        <v>3779</v>
      </c>
      <c r="CL13">
        <v>3632</v>
      </c>
      <c r="CM13">
        <v>3628</v>
      </c>
      <c r="CN13">
        <v>3568</v>
      </c>
      <c r="CO13">
        <v>3570</v>
      </c>
      <c r="CP13">
        <v>3675</v>
      </c>
      <c r="CQ13">
        <v>3719</v>
      </c>
      <c r="CS13">
        <v>3597</v>
      </c>
      <c r="CT13">
        <v>3592</v>
      </c>
      <c r="CU13">
        <v>3715</v>
      </c>
      <c r="CV13">
        <v>3612</v>
      </c>
      <c r="CW13">
        <v>3622</v>
      </c>
      <c r="CX13">
        <v>3812</v>
      </c>
      <c r="CZ13">
        <v>3631</v>
      </c>
      <c r="DA13">
        <v>3567</v>
      </c>
      <c r="DB13">
        <v>3576</v>
      </c>
      <c r="DC13">
        <v>3564</v>
      </c>
      <c r="DD13">
        <v>3581</v>
      </c>
      <c r="DE13">
        <v>3800</v>
      </c>
      <c r="DG13">
        <v>3581</v>
      </c>
      <c r="DH13">
        <v>3585</v>
      </c>
      <c r="DI13">
        <v>3507</v>
      </c>
      <c r="DJ13">
        <v>3623</v>
      </c>
      <c r="DK13">
        <v>3584</v>
      </c>
      <c r="DL13">
        <v>3581</v>
      </c>
      <c r="DO13">
        <v>3530</v>
      </c>
      <c r="DP13">
        <v>3486</v>
      </c>
      <c r="DQ13">
        <v>3501</v>
      </c>
      <c r="DR13">
        <v>3512</v>
      </c>
      <c r="DS13">
        <v>3774</v>
      </c>
      <c r="DT13">
        <v>3690</v>
      </c>
    </row>
    <row r="15" spans="5:54">
      <c r="E15" s="21" t="s">
        <v>1</v>
      </c>
      <c r="F15" s="21"/>
      <c r="G15" t="s">
        <v>2</v>
      </c>
      <c r="BB15" s="2"/>
    </row>
    <row r="16" s="1" customFormat="1" spans="10:18">
      <c r="J16" s="1" t="s">
        <v>3</v>
      </c>
      <c r="Q16" s="1" t="s">
        <v>4</v>
      </c>
      <c r="R16" s="1" t="s">
        <v>5</v>
      </c>
    </row>
    <row r="17" spans="1:18">
      <c r="A17" t="s">
        <v>0</v>
      </c>
      <c r="B17" s="22">
        <v>32</v>
      </c>
      <c r="C17">
        <v>5065</v>
      </c>
      <c r="D17">
        <v>5289</v>
      </c>
      <c r="E17">
        <v>5111</v>
      </c>
      <c r="F17">
        <v>5108</v>
      </c>
      <c r="G17">
        <v>5235</v>
      </c>
      <c r="H17">
        <v>5271</v>
      </c>
      <c r="I17">
        <f>AVERAGE(C17:H17)</f>
        <v>5179.83333333333</v>
      </c>
      <c r="J17" s="25">
        <v>7757</v>
      </c>
      <c r="K17">
        <f>LOG10(J17/C17)</f>
        <v>0.185114341747886</v>
      </c>
      <c r="L17">
        <f>LOG10(J17/D17)</f>
        <v>0.166320224425201</v>
      </c>
      <c r="M17">
        <f>LOG10(J17/E17)</f>
        <v>0.181187910488948</v>
      </c>
      <c r="N17">
        <f>LOG10(J17/F17)</f>
        <v>0.181442902852808</v>
      </c>
      <c r="O17">
        <f>LOG10(J17/G17)</f>
        <v>0.170777105429324</v>
      </c>
      <c r="P17">
        <f>LOG10(J17/H17)</f>
        <v>0.167800775229228</v>
      </c>
      <c r="Q17">
        <f>AVERAGE(K17:P17)</f>
        <v>0.175440543362232</v>
      </c>
      <c r="R17">
        <f>STDEV(K17:P17)</f>
        <v>0.00807386959942956</v>
      </c>
    </row>
    <row r="18" spans="1:18">
      <c r="A18">
        <v>20</v>
      </c>
      <c r="B18" s="22">
        <f>32+20</f>
        <v>52</v>
      </c>
      <c r="C18" s="4">
        <v>5139</v>
      </c>
      <c r="D18" s="4">
        <v>4975</v>
      </c>
      <c r="E18" s="4">
        <v>5000</v>
      </c>
      <c r="F18" s="4">
        <v>5000</v>
      </c>
      <c r="G18" s="4">
        <v>5055</v>
      </c>
      <c r="H18" s="4">
        <v>4954</v>
      </c>
      <c r="I18">
        <f t="shared" ref="I18:I33" si="0">AVERAGE(C18:H18)</f>
        <v>5020.5</v>
      </c>
      <c r="J18" s="25">
        <v>7757</v>
      </c>
      <c r="K18">
        <f t="shared" ref="K18:K33" si="1">LOG10(J18/C18)</f>
        <v>0.178815173759012</v>
      </c>
      <c r="L18">
        <f t="shared" ref="L18:L33" si="2">LOG10(J18/D18)</f>
        <v>0.192900706362441</v>
      </c>
      <c r="M18">
        <f t="shared" ref="M18:M33" si="3">LOG10(J18/E18)</f>
        <v>0.190723787108166</v>
      </c>
      <c r="N18">
        <f t="shared" ref="N18:N33" si="4">LOG10(J18/F18)</f>
        <v>0.190723787108166</v>
      </c>
      <c r="O18">
        <f t="shared" ref="O18:O33" si="5">LOG10(J18/G18)</f>
        <v>0.185972631517165</v>
      </c>
      <c r="P18">
        <f t="shared" ref="P18:P33" si="6">LOG10(J18/H18)</f>
        <v>0.194737789194367</v>
      </c>
      <c r="Q18">
        <f t="shared" ref="Q18:Q33" si="7">AVERAGE(K18:P18)</f>
        <v>0.188978979174887</v>
      </c>
      <c r="R18">
        <f t="shared" ref="R18:R33" si="8">STDEV(K18:P18)</f>
        <v>0.00577881671612771</v>
      </c>
    </row>
    <row r="19" spans="1:18">
      <c r="A19">
        <v>40</v>
      </c>
      <c r="B19" s="22">
        <v>72</v>
      </c>
      <c r="C19" s="4">
        <v>4907</v>
      </c>
      <c r="D19" s="4">
        <v>5074</v>
      </c>
      <c r="E19" s="4">
        <v>4747</v>
      </c>
      <c r="F19" s="4">
        <v>4976</v>
      </c>
      <c r="G19" s="4">
        <v>4960</v>
      </c>
      <c r="H19" s="4">
        <v>4974</v>
      </c>
      <c r="I19">
        <f t="shared" si="0"/>
        <v>4939.66666666667</v>
      </c>
      <c r="J19" s="25">
        <v>7757</v>
      </c>
      <c r="K19">
        <f t="shared" si="1"/>
        <v>0.19887773346327</v>
      </c>
      <c r="L19">
        <f t="shared" si="2"/>
        <v>0.184343328558473</v>
      </c>
      <c r="M19">
        <f t="shared" si="3"/>
        <v>0.213274559725825</v>
      </c>
      <c r="N19">
        <f t="shared" si="4"/>
        <v>0.192813419761423</v>
      </c>
      <c r="O19">
        <f t="shared" si="5"/>
        <v>0.194212114953988</v>
      </c>
      <c r="P19">
        <f t="shared" si="6"/>
        <v>0.192988010510268</v>
      </c>
      <c r="Q19">
        <f t="shared" si="7"/>
        <v>0.196084861162208</v>
      </c>
      <c r="R19">
        <f t="shared" si="8"/>
        <v>0.0096431265826206</v>
      </c>
    </row>
    <row r="20" spans="1:24">
      <c r="A20">
        <v>60</v>
      </c>
      <c r="B20" s="22">
        <v>92</v>
      </c>
      <c r="C20" s="4">
        <v>4737</v>
      </c>
      <c r="D20" s="4">
        <v>4836</v>
      </c>
      <c r="E20" s="4">
        <v>4770</v>
      </c>
      <c r="F20" s="4">
        <v>4843</v>
      </c>
      <c r="G20" s="4">
        <v>4790</v>
      </c>
      <c r="H20" s="4">
        <v>4848</v>
      </c>
      <c r="I20" s="26">
        <f t="shared" si="0"/>
        <v>4804</v>
      </c>
      <c r="J20" s="25">
        <v>7757</v>
      </c>
      <c r="K20">
        <f t="shared" si="1"/>
        <v>0.214190406716229</v>
      </c>
      <c r="L20">
        <f t="shared" si="2"/>
        <v>0.205207499255451</v>
      </c>
      <c r="M20">
        <f t="shared" si="3"/>
        <v>0.211175412404071</v>
      </c>
      <c r="N20">
        <f t="shared" si="4"/>
        <v>0.204579322397646</v>
      </c>
      <c r="O20">
        <f t="shared" si="5"/>
        <v>0.209358278029622</v>
      </c>
      <c r="P20">
        <f t="shared" si="6"/>
        <v>0.204131180285956</v>
      </c>
      <c r="Q20">
        <f t="shared" si="7"/>
        <v>0.208107016514829</v>
      </c>
      <c r="R20">
        <f t="shared" si="8"/>
        <v>0.00411454602343122</v>
      </c>
      <c r="S20" s="28"/>
      <c r="T20" s="28"/>
      <c r="U20" s="28"/>
      <c r="V20" s="28"/>
      <c r="W20" s="28"/>
      <c r="X20" s="28"/>
    </row>
    <row r="21" spans="1:24">
      <c r="A21">
        <v>80</v>
      </c>
      <c r="B21" s="22">
        <v>112</v>
      </c>
      <c r="C21" s="4">
        <v>4914</v>
      </c>
      <c r="D21" s="4">
        <v>4939</v>
      </c>
      <c r="E21" s="4">
        <v>4669</v>
      </c>
      <c r="F21" s="4">
        <v>4904</v>
      </c>
      <c r="G21" s="4">
        <v>4912</v>
      </c>
      <c r="H21" s="4">
        <v>5033</v>
      </c>
      <c r="I21">
        <f t="shared" si="0"/>
        <v>4895.16666666667</v>
      </c>
      <c r="J21" s="25">
        <v>7757</v>
      </c>
      <c r="K21">
        <f t="shared" si="1"/>
        <v>0.198258639300123</v>
      </c>
      <c r="L21">
        <f t="shared" si="2"/>
        <v>0.196054765282637</v>
      </c>
      <c r="M21">
        <f t="shared" si="3"/>
        <v>0.22046991751338</v>
      </c>
      <c r="N21">
        <f t="shared" si="4"/>
        <v>0.199143329933827</v>
      </c>
      <c r="O21">
        <f t="shared" si="5"/>
        <v>0.198435433311074</v>
      </c>
      <c r="P21">
        <f t="shared" si="6"/>
        <v>0.187866861047046</v>
      </c>
      <c r="Q21">
        <f t="shared" si="7"/>
        <v>0.200038157731348</v>
      </c>
      <c r="R21">
        <f t="shared" si="8"/>
        <v>0.0108443608790009</v>
      </c>
      <c r="S21" s="30"/>
      <c r="T21" s="30"/>
      <c r="U21" s="30"/>
      <c r="V21" s="30"/>
      <c r="W21" s="30"/>
      <c r="X21" s="30"/>
    </row>
    <row r="22" spans="1:18">
      <c r="A22">
        <v>100</v>
      </c>
      <c r="B22" s="22">
        <v>132</v>
      </c>
      <c r="C22" s="4">
        <v>4777</v>
      </c>
      <c r="D22" s="4">
        <v>4740</v>
      </c>
      <c r="E22" s="4">
        <v>4933</v>
      </c>
      <c r="F22" s="4">
        <v>4759</v>
      </c>
      <c r="G22" s="4">
        <v>4731</v>
      </c>
      <c r="H22" s="4">
        <v>4683</v>
      </c>
      <c r="I22">
        <f t="shared" si="0"/>
        <v>4770.5</v>
      </c>
      <c r="J22" s="25">
        <v>7757</v>
      </c>
      <c r="K22">
        <f t="shared" si="1"/>
        <v>0.210538550160832</v>
      </c>
      <c r="L22">
        <f t="shared" si="2"/>
        <v>0.2139154497701</v>
      </c>
      <c r="M22">
        <f t="shared" si="3"/>
        <v>0.196582675982044</v>
      </c>
      <c r="N22">
        <f t="shared" si="4"/>
        <v>0.212178086645428</v>
      </c>
      <c r="O22">
        <f t="shared" si="5"/>
        <v>0.21474084339562</v>
      </c>
      <c r="P22">
        <f t="shared" si="6"/>
        <v>0.219169633662105</v>
      </c>
      <c r="Q22">
        <f t="shared" si="7"/>
        <v>0.211187539936021</v>
      </c>
      <c r="R22">
        <f t="shared" si="8"/>
        <v>0.00772639242359398</v>
      </c>
    </row>
    <row r="23" spans="1:24">
      <c r="A23">
        <v>120</v>
      </c>
      <c r="B23" s="22">
        <v>152</v>
      </c>
      <c r="C23" s="4">
        <v>4716</v>
      </c>
      <c r="D23" s="4">
        <v>4818</v>
      </c>
      <c r="E23" s="4">
        <v>4793</v>
      </c>
      <c r="F23" s="4">
        <v>4773</v>
      </c>
      <c r="G23" s="4">
        <v>4816</v>
      </c>
      <c r="H23" s="4">
        <v>4955</v>
      </c>
      <c r="I23" s="26">
        <f t="shared" si="0"/>
        <v>4811.83333333333</v>
      </c>
      <c r="J23" s="25">
        <v>7757</v>
      </c>
      <c r="K23">
        <f t="shared" si="1"/>
        <v>0.216119995021134</v>
      </c>
      <c r="L23">
        <f t="shared" si="2"/>
        <v>0.206826995781861</v>
      </c>
      <c r="M23">
        <f t="shared" si="3"/>
        <v>0.209086362452397</v>
      </c>
      <c r="N23">
        <f t="shared" si="4"/>
        <v>0.210902357077941</v>
      </c>
      <c r="O23">
        <f t="shared" si="5"/>
        <v>0.207007313194417</v>
      </c>
      <c r="P23">
        <f t="shared" si="6"/>
        <v>0.194650132622891</v>
      </c>
      <c r="Q23">
        <f t="shared" si="7"/>
        <v>0.207432192691774</v>
      </c>
      <c r="R23">
        <f t="shared" si="8"/>
        <v>0.00712999401499869</v>
      </c>
      <c r="S23" s="30"/>
      <c r="T23" s="30"/>
      <c r="U23" s="30"/>
      <c r="V23" s="30"/>
      <c r="W23" s="30"/>
      <c r="X23" s="30"/>
    </row>
    <row r="24" spans="1:24">
      <c r="A24">
        <v>140</v>
      </c>
      <c r="B24" s="22">
        <v>172</v>
      </c>
      <c r="C24" s="4">
        <v>4663</v>
      </c>
      <c r="D24" s="4">
        <v>4669</v>
      </c>
      <c r="E24" s="4">
        <v>4470</v>
      </c>
      <c r="F24" s="4">
        <v>4704</v>
      </c>
      <c r="G24" s="4">
        <v>4604</v>
      </c>
      <c r="H24" s="4">
        <v>4640</v>
      </c>
      <c r="I24">
        <f t="shared" si="0"/>
        <v>4625</v>
      </c>
      <c r="J24" s="25">
        <v>7757</v>
      </c>
      <c r="K24">
        <f t="shared" si="1"/>
        <v>0.221028375989693</v>
      </c>
      <c r="L24">
        <f t="shared" si="2"/>
        <v>0.22046991751338</v>
      </c>
      <c r="M24">
        <f t="shared" si="3"/>
        <v>0.239386268312249</v>
      </c>
      <c r="N24">
        <f t="shared" si="4"/>
        <v>0.217226478376103</v>
      </c>
      <c r="O24">
        <f t="shared" si="5"/>
        <v>0.226558476486431</v>
      </c>
      <c r="P24">
        <f t="shared" si="6"/>
        <v>0.223175810889304</v>
      </c>
      <c r="Q24">
        <f t="shared" si="7"/>
        <v>0.22464088792786</v>
      </c>
      <c r="R24">
        <f t="shared" si="8"/>
        <v>0.00785710563747535</v>
      </c>
      <c r="S24" s="31"/>
      <c r="T24" s="31"/>
      <c r="U24" s="31"/>
      <c r="V24" s="31"/>
      <c r="W24" s="31"/>
      <c r="X24" s="31"/>
    </row>
    <row r="25" spans="1:24">
      <c r="A25">
        <v>160</v>
      </c>
      <c r="B25" s="22">
        <v>192</v>
      </c>
      <c r="C25" s="4">
        <v>4421</v>
      </c>
      <c r="D25" s="4">
        <v>4546</v>
      </c>
      <c r="E25" s="4">
        <v>4504</v>
      </c>
      <c r="F25" s="4">
        <v>4581</v>
      </c>
      <c r="G25" s="4">
        <v>4441</v>
      </c>
      <c r="H25" s="4">
        <v>4529</v>
      </c>
      <c r="I25">
        <f t="shared" si="0"/>
        <v>4503.66666666667</v>
      </c>
      <c r="J25" s="25">
        <v>7757</v>
      </c>
      <c r="K25">
        <f t="shared" si="1"/>
        <v>0.244173276538311</v>
      </c>
      <c r="L25">
        <f t="shared" si="2"/>
        <v>0.232064360055233</v>
      </c>
      <c r="M25">
        <f t="shared" si="3"/>
        <v>0.236095409600895</v>
      </c>
      <c r="N25">
        <f t="shared" si="4"/>
        <v>0.228733499668102</v>
      </c>
      <c r="O25">
        <f t="shared" si="5"/>
        <v>0.242213018270509</v>
      </c>
      <c r="P25">
        <f t="shared" si="6"/>
        <v>0.233691470761228</v>
      </c>
      <c r="Q25">
        <f t="shared" si="7"/>
        <v>0.236161839149047</v>
      </c>
      <c r="R25">
        <f t="shared" si="8"/>
        <v>0.00598124724496384</v>
      </c>
      <c r="S25" s="31"/>
      <c r="T25" s="31"/>
      <c r="U25" s="31"/>
      <c r="V25" s="31"/>
      <c r="W25" s="31"/>
      <c r="X25" s="31"/>
    </row>
    <row r="26" spans="1:24">
      <c r="A26">
        <v>180</v>
      </c>
      <c r="B26" s="22">
        <v>212</v>
      </c>
      <c r="C26" s="4">
        <v>4436</v>
      </c>
      <c r="D26" s="4">
        <v>4620</v>
      </c>
      <c r="E26" s="4">
        <v>4360</v>
      </c>
      <c r="F26" s="4">
        <v>4370</v>
      </c>
      <c r="G26" s="4">
        <v>4562</v>
      </c>
      <c r="H26" s="4">
        <v>4538</v>
      </c>
      <c r="I26">
        <f t="shared" si="0"/>
        <v>4481</v>
      </c>
      <c r="J26" s="25">
        <v>7757</v>
      </c>
      <c r="K26">
        <f t="shared" si="1"/>
        <v>0.242702253967063</v>
      </c>
      <c r="L26">
        <f t="shared" si="2"/>
        <v>0.22505181588806</v>
      </c>
      <c r="M26">
        <f t="shared" si="3"/>
        <v>0.250207302175599</v>
      </c>
      <c r="N26">
        <f t="shared" si="4"/>
        <v>0.249212354473763</v>
      </c>
      <c r="O26">
        <f t="shared" si="5"/>
        <v>0.230538510503556</v>
      </c>
      <c r="P26">
        <f t="shared" si="6"/>
        <v>0.232829299895268</v>
      </c>
      <c r="Q26">
        <f t="shared" si="7"/>
        <v>0.238423589483885</v>
      </c>
      <c r="R26">
        <f t="shared" si="8"/>
        <v>0.0104483030219519</v>
      </c>
      <c r="S26" s="31"/>
      <c r="T26" s="31"/>
      <c r="U26" s="31"/>
      <c r="V26" s="31"/>
      <c r="W26" s="31"/>
      <c r="X26" s="31"/>
    </row>
    <row r="27" spans="1:24">
      <c r="A27">
        <v>200</v>
      </c>
      <c r="B27" s="22">
        <v>232</v>
      </c>
      <c r="C27" s="4">
        <v>4560</v>
      </c>
      <c r="D27" s="4">
        <v>4323</v>
      </c>
      <c r="E27" s="4">
        <v>4440</v>
      </c>
      <c r="F27" s="4">
        <v>4424</v>
      </c>
      <c r="G27" s="4">
        <v>4437</v>
      </c>
      <c r="H27" s="4">
        <v>4317</v>
      </c>
      <c r="I27">
        <f t="shared" si="0"/>
        <v>4416.83333333333</v>
      </c>
      <c r="J27" s="25">
        <v>7757</v>
      </c>
      <c r="K27">
        <f t="shared" si="1"/>
        <v>0.23072894877975</v>
      </c>
      <c r="L27">
        <f t="shared" si="2"/>
        <v>0.253908555910534</v>
      </c>
      <c r="M27">
        <f t="shared" si="3"/>
        <v>0.242310821329565</v>
      </c>
      <c r="N27">
        <f t="shared" si="4"/>
        <v>0.243878673147543</v>
      </c>
      <c r="O27">
        <f t="shared" si="5"/>
        <v>0.24260436272763</v>
      </c>
      <c r="P27">
        <f t="shared" si="6"/>
        <v>0.254511742787918</v>
      </c>
      <c r="Q27">
        <f t="shared" si="7"/>
        <v>0.244657184113824</v>
      </c>
      <c r="R27">
        <f t="shared" si="8"/>
        <v>0.00879797157971124</v>
      </c>
      <c r="S27" s="31"/>
      <c r="T27" s="28"/>
      <c r="U27" s="31"/>
      <c r="V27" s="31"/>
      <c r="W27" s="31"/>
      <c r="X27" s="31"/>
    </row>
    <row r="28" spans="1:24">
      <c r="A28">
        <v>250</v>
      </c>
      <c r="B28" s="22">
        <v>282</v>
      </c>
      <c r="C28" s="4">
        <v>4507</v>
      </c>
      <c r="D28" s="4">
        <v>4531</v>
      </c>
      <c r="E28" s="4">
        <v>4777</v>
      </c>
      <c r="F28" s="4">
        <v>4444</v>
      </c>
      <c r="G28" s="4">
        <v>4424</v>
      </c>
      <c r="H28" s="4">
        <v>4436</v>
      </c>
      <c r="I28" s="26">
        <f t="shared" si="0"/>
        <v>4519.83333333333</v>
      </c>
      <c r="J28" s="25">
        <v>7757</v>
      </c>
      <c r="K28">
        <f t="shared" si="1"/>
        <v>0.235806233373208</v>
      </c>
      <c r="L28">
        <f t="shared" si="2"/>
        <v>0.233499729264999</v>
      </c>
      <c r="M28">
        <f t="shared" si="3"/>
        <v>0.210538550160832</v>
      </c>
      <c r="N28">
        <f t="shared" si="4"/>
        <v>0.241919741175355</v>
      </c>
      <c r="O28">
        <f t="shared" si="5"/>
        <v>0.243878673147543</v>
      </c>
      <c r="P28">
        <f t="shared" si="6"/>
        <v>0.242702253967063</v>
      </c>
      <c r="Q28">
        <f t="shared" si="7"/>
        <v>0.234724196848167</v>
      </c>
      <c r="R28">
        <f t="shared" si="8"/>
        <v>0.0125446826939633</v>
      </c>
      <c r="S28" s="31"/>
      <c r="T28" s="31"/>
      <c r="U28" s="31"/>
      <c r="V28" s="31"/>
      <c r="W28" s="31"/>
      <c r="X28" s="31"/>
    </row>
    <row r="29" spans="1:24">
      <c r="A29">
        <v>300</v>
      </c>
      <c r="B29" s="22">
        <v>332</v>
      </c>
      <c r="C29" s="4">
        <v>4316</v>
      </c>
      <c r="D29" s="4">
        <v>4317</v>
      </c>
      <c r="E29" s="4">
        <v>4269</v>
      </c>
      <c r="F29" s="4">
        <v>4292</v>
      </c>
      <c r="G29" s="4">
        <v>4382</v>
      </c>
      <c r="H29" s="4">
        <v>4379</v>
      </c>
      <c r="I29">
        <f t="shared" si="0"/>
        <v>4325.83333333333</v>
      </c>
      <c r="J29" s="25">
        <v>7757</v>
      </c>
      <c r="K29">
        <f t="shared" si="1"/>
        <v>0.254612355433312</v>
      </c>
      <c r="L29">
        <f t="shared" si="2"/>
        <v>0.254511742787918</v>
      </c>
      <c r="M29">
        <f t="shared" si="3"/>
        <v>0.259367636640239</v>
      </c>
      <c r="N29">
        <f t="shared" si="4"/>
        <v>0.257034078150272</v>
      </c>
      <c r="O29">
        <f t="shared" si="5"/>
        <v>0.248021418219499</v>
      </c>
      <c r="P29">
        <f t="shared" si="6"/>
        <v>0.24831884625206</v>
      </c>
      <c r="Q29">
        <f t="shared" si="7"/>
        <v>0.253644346247216</v>
      </c>
      <c r="R29">
        <f t="shared" si="8"/>
        <v>0.00460247810736657</v>
      </c>
      <c r="S29" s="31"/>
      <c r="T29" s="31"/>
      <c r="U29" s="31"/>
      <c r="V29" s="31"/>
      <c r="W29" s="31"/>
      <c r="X29" s="31"/>
    </row>
    <row r="30" spans="1:24">
      <c r="A30">
        <v>350</v>
      </c>
      <c r="B30" s="22">
        <v>382</v>
      </c>
      <c r="C30" s="4">
        <v>4261</v>
      </c>
      <c r="D30" s="4">
        <v>4252</v>
      </c>
      <c r="E30" s="4">
        <v>4368</v>
      </c>
      <c r="F30" s="4">
        <v>4287</v>
      </c>
      <c r="G30" s="4">
        <v>4286</v>
      </c>
      <c r="H30" s="4">
        <v>4468</v>
      </c>
      <c r="I30">
        <f t="shared" si="0"/>
        <v>4320.33333333333</v>
      </c>
      <c r="J30" s="25">
        <v>7757</v>
      </c>
      <c r="K30">
        <f t="shared" si="1"/>
        <v>0.260182257243732</v>
      </c>
      <c r="L30">
        <f t="shared" si="2"/>
        <v>0.261100535592926</v>
      </c>
      <c r="M30">
        <f t="shared" si="3"/>
        <v>0.249411161747504</v>
      </c>
      <c r="N30">
        <f t="shared" si="4"/>
        <v>0.257540307933553</v>
      </c>
      <c r="O30">
        <f t="shared" si="5"/>
        <v>0.257641624738375</v>
      </c>
      <c r="P30">
        <f t="shared" si="6"/>
        <v>0.239580627000614</v>
      </c>
      <c r="Q30">
        <f t="shared" si="7"/>
        <v>0.254242752376117</v>
      </c>
      <c r="R30">
        <f t="shared" si="8"/>
        <v>0.00828317938040631</v>
      </c>
      <c r="S30" s="31"/>
      <c r="T30" s="31"/>
      <c r="U30" s="31"/>
      <c r="V30" s="31"/>
      <c r="W30" s="31"/>
      <c r="X30" s="31"/>
    </row>
    <row r="31" spans="1:24">
      <c r="A31">
        <v>400</v>
      </c>
      <c r="B31" s="22">
        <v>434</v>
      </c>
      <c r="C31" s="4">
        <v>4267</v>
      </c>
      <c r="D31" s="4">
        <v>4257</v>
      </c>
      <c r="E31" s="4">
        <v>4284</v>
      </c>
      <c r="F31" s="4">
        <v>4270</v>
      </c>
      <c r="G31" s="4">
        <v>4258</v>
      </c>
      <c r="H31" s="4">
        <v>4473</v>
      </c>
      <c r="I31">
        <f t="shared" si="0"/>
        <v>4301.5</v>
      </c>
      <c r="J31" s="25">
        <v>7757</v>
      </c>
      <c r="K31">
        <f t="shared" si="1"/>
        <v>0.259571148584873</v>
      </c>
      <c r="L31">
        <f t="shared" si="2"/>
        <v>0.260590141267049</v>
      </c>
      <c r="M31">
        <f t="shared" si="3"/>
        <v>0.257844329284367</v>
      </c>
      <c r="N31">
        <f t="shared" si="4"/>
        <v>0.259265916419161</v>
      </c>
      <c r="O31">
        <f t="shared" si="5"/>
        <v>0.260488134341882</v>
      </c>
      <c r="P31">
        <f t="shared" si="6"/>
        <v>0.239094893271528</v>
      </c>
      <c r="Q31">
        <f t="shared" si="7"/>
        <v>0.25614242719481</v>
      </c>
      <c r="R31">
        <f t="shared" si="8"/>
        <v>0.00841064242456776</v>
      </c>
      <c r="S31" s="31"/>
      <c r="T31" s="31"/>
      <c r="U31" s="31"/>
      <c r="V31" s="31"/>
      <c r="W31" s="31"/>
      <c r="X31" s="31"/>
    </row>
    <row r="32" spans="1:24">
      <c r="A32">
        <v>450</v>
      </c>
      <c r="B32" s="22">
        <v>482</v>
      </c>
      <c r="C32" s="4">
        <v>4389</v>
      </c>
      <c r="D32" s="4">
        <v>4370</v>
      </c>
      <c r="E32" s="4">
        <v>4347</v>
      </c>
      <c r="F32" s="4">
        <v>4303</v>
      </c>
      <c r="G32" s="4">
        <v>4569</v>
      </c>
      <c r="H32" s="4">
        <v>4527</v>
      </c>
      <c r="I32" s="26">
        <f t="shared" si="0"/>
        <v>4417.5</v>
      </c>
      <c r="J32" s="25">
        <v>7757</v>
      </c>
      <c r="K32">
        <f t="shared" si="1"/>
        <v>0.247328210599212</v>
      </c>
      <c r="L32">
        <f t="shared" si="2"/>
        <v>0.249212354473763</v>
      </c>
      <c r="M32">
        <f t="shared" si="3"/>
        <v>0.251504151253348</v>
      </c>
      <c r="N32">
        <f t="shared" si="4"/>
        <v>0.25592244536163</v>
      </c>
      <c r="O32">
        <f t="shared" si="5"/>
        <v>0.22987263338848</v>
      </c>
      <c r="P32">
        <f t="shared" si="6"/>
        <v>0.233883296948933</v>
      </c>
      <c r="Q32">
        <f t="shared" si="7"/>
        <v>0.244620515337561</v>
      </c>
      <c r="R32">
        <f t="shared" si="8"/>
        <v>0.0103568580822748</v>
      </c>
      <c r="S32" s="30"/>
      <c r="T32" s="30"/>
      <c r="U32" s="30"/>
      <c r="V32" s="30"/>
      <c r="W32" s="30"/>
      <c r="X32" s="30"/>
    </row>
    <row r="33" spans="1:24">
      <c r="A33">
        <v>500</v>
      </c>
      <c r="B33" s="22">
        <v>532</v>
      </c>
      <c r="C33" s="4">
        <v>4295</v>
      </c>
      <c r="D33" s="4">
        <v>4479</v>
      </c>
      <c r="E33" s="4">
        <v>4305</v>
      </c>
      <c r="F33" s="4">
        <v>4322</v>
      </c>
      <c r="G33" s="4">
        <v>4302</v>
      </c>
      <c r="H33" s="4">
        <v>4352</v>
      </c>
      <c r="I33" s="26">
        <f t="shared" si="0"/>
        <v>4342.5</v>
      </c>
      <c r="J33" s="25">
        <v>7757</v>
      </c>
      <c r="K33">
        <f t="shared" si="1"/>
        <v>0.256730623276924</v>
      </c>
      <c r="L33">
        <f t="shared" si="2"/>
        <v>0.238512728999497</v>
      </c>
      <c r="M33">
        <f t="shared" si="3"/>
        <v>0.255720635654512</v>
      </c>
      <c r="N33">
        <f t="shared" si="4"/>
        <v>0.254009028896963</v>
      </c>
      <c r="O33">
        <f t="shared" si="5"/>
        <v>0.256023385392742</v>
      </c>
      <c r="P33">
        <f t="shared" si="6"/>
        <v>0.251004904754062</v>
      </c>
      <c r="Q33">
        <f t="shared" si="7"/>
        <v>0.252000217829117</v>
      </c>
      <c r="R33">
        <f t="shared" si="8"/>
        <v>0.00691870575604928</v>
      </c>
      <c r="S33" s="30"/>
      <c r="T33" s="30"/>
      <c r="U33" s="30"/>
      <c r="V33" s="30"/>
      <c r="W33" s="30"/>
      <c r="X33" s="30"/>
    </row>
    <row r="34" spans="2:10">
      <c r="B34" s="22"/>
      <c r="C34" s="4"/>
      <c r="D34" s="4"/>
      <c r="E34" s="4"/>
      <c r="F34" s="4"/>
      <c r="G34" s="4"/>
      <c r="H34" s="4"/>
      <c r="I34" s="26"/>
      <c r="J34" s="25"/>
    </row>
    <row r="35" spans="2:10">
      <c r="B35" s="22"/>
      <c r="C35" s="4"/>
      <c r="D35" s="4"/>
      <c r="E35" s="4"/>
      <c r="F35" s="4"/>
      <c r="G35" s="4"/>
      <c r="H35" s="4"/>
      <c r="I35" s="26"/>
      <c r="J35" s="25"/>
    </row>
    <row r="36" spans="2:10">
      <c r="B36" s="22"/>
      <c r="C36" s="4"/>
      <c r="D36" s="4"/>
      <c r="E36" s="4"/>
      <c r="F36" s="4"/>
      <c r="G36" s="23" t="s">
        <v>6</v>
      </c>
      <c r="H36" s="21"/>
      <c r="I36" s="27"/>
      <c r="J36" s="25"/>
    </row>
    <row r="37" spans="3:8">
      <c r="C37" s="4"/>
      <c r="D37" s="4"/>
      <c r="E37" s="4"/>
      <c r="F37" s="4"/>
      <c r="G37" s="4"/>
      <c r="H37" s="4"/>
    </row>
    <row r="38" s="1" customFormat="1" spans="3:15">
      <c r="C38" s="1" t="s">
        <v>7</v>
      </c>
      <c r="E38" s="1" t="s">
        <v>8</v>
      </c>
      <c r="J38" s="1" t="s">
        <v>3</v>
      </c>
      <c r="N38" s="1" t="s">
        <v>4</v>
      </c>
      <c r="O38" s="1" t="s">
        <v>5</v>
      </c>
    </row>
    <row r="39" spans="3:15">
      <c r="C39" s="22">
        <v>1.50514997831991</v>
      </c>
      <c r="D39" t="s">
        <v>0</v>
      </c>
      <c r="E39" s="22">
        <v>32</v>
      </c>
      <c r="F39">
        <v>5289</v>
      </c>
      <c r="G39">
        <v>5235</v>
      </c>
      <c r="H39">
        <v>5271</v>
      </c>
      <c r="I39">
        <f t="shared" ref="I39:I55" si="9">AVERAGE(F39:H39)</f>
        <v>5265</v>
      </c>
      <c r="J39" s="25">
        <v>7757</v>
      </c>
      <c r="K39">
        <f t="shared" ref="K39:K55" si="10">LOG10(J39/F39)</f>
        <v>0.166320224425201</v>
      </c>
      <c r="L39">
        <f t="shared" ref="L39:L55" si="11">LOG10(J39/G39)</f>
        <v>0.170777105429324</v>
      </c>
      <c r="M39">
        <f t="shared" ref="M39:M55" si="12">LOG10(J39/H39)</f>
        <v>0.167800775229228</v>
      </c>
      <c r="N39">
        <f t="shared" ref="N39:N55" si="13">AVERAGE(K39:M39)</f>
        <v>0.168299368361251</v>
      </c>
      <c r="O39">
        <f t="shared" ref="O39:O55" si="14">STDEV(K39:M39)</f>
        <v>0.00226988841239041</v>
      </c>
    </row>
    <row r="40" spans="3:15">
      <c r="C40" s="22">
        <v>1.7160033436348</v>
      </c>
      <c r="D40">
        <v>20</v>
      </c>
      <c r="E40" s="22">
        <f>32+20</f>
        <v>52</v>
      </c>
      <c r="F40">
        <v>5000</v>
      </c>
      <c r="G40">
        <v>5000</v>
      </c>
      <c r="H40">
        <v>5055</v>
      </c>
      <c r="I40">
        <f t="shared" si="9"/>
        <v>5018.33333333333</v>
      </c>
      <c r="J40" s="25">
        <v>7757</v>
      </c>
      <c r="K40">
        <f t="shared" si="10"/>
        <v>0.190723787108166</v>
      </c>
      <c r="L40">
        <f t="shared" si="11"/>
        <v>0.190723787108166</v>
      </c>
      <c r="M40">
        <f t="shared" si="12"/>
        <v>0.185972631517165</v>
      </c>
      <c r="N40">
        <f t="shared" si="13"/>
        <v>0.189140068577833</v>
      </c>
      <c r="O40">
        <f t="shared" si="14"/>
        <v>0.00274308095942624</v>
      </c>
    </row>
    <row r="41" spans="3:15">
      <c r="C41" s="22">
        <v>1.85733249643127</v>
      </c>
      <c r="D41">
        <v>40</v>
      </c>
      <c r="E41" s="22">
        <v>72</v>
      </c>
      <c r="F41" s="4">
        <v>4976</v>
      </c>
      <c r="G41" s="4">
        <v>4960</v>
      </c>
      <c r="H41" s="4">
        <v>4974</v>
      </c>
      <c r="I41">
        <f t="shared" si="9"/>
        <v>4970</v>
      </c>
      <c r="J41" s="25">
        <v>7757</v>
      </c>
      <c r="K41">
        <f t="shared" si="10"/>
        <v>0.192813419761423</v>
      </c>
      <c r="L41">
        <f t="shared" si="11"/>
        <v>0.194212114953988</v>
      </c>
      <c r="M41">
        <f t="shared" si="12"/>
        <v>0.192988010510268</v>
      </c>
      <c r="N41">
        <f t="shared" si="13"/>
        <v>0.19333784840856</v>
      </c>
      <c r="O41">
        <f t="shared" si="14"/>
        <v>0.000762152856543095</v>
      </c>
    </row>
    <row r="42" spans="3:19">
      <c r="C42" s="22">
        <v>1.96378782734556</v>
      </c>
      <c r="D42">
        <v>60</v>
      </c>
      <c r="E42" s="22">
        <v>92</v>
      </c>
      <c r="F42" s="4">
        <v>4836</v>
      </c>
      <c r="G42" s="4">
        <v>4843</v>
      </c>
      <c r="H42" s="4">
        <v>4848</v>
      </c>
      <c r="I42">
        <f t="shared" si="9"/>
        <v>4842.33333333333</v>
      </c>
      <c r="J42" s="25">
        <v>7757</v>
      </c>
      <c r="K42">
        <f t="shared" si="10"/>
        <v>0.205207499255451</v>
      </c>
      <c r="L42">
        <f t="shared" si="11"/>
        <v>0.204579322397646</v>
      </c>
      <c r="M42">
        <f t="shared" si="12"/>
        <v>0.204131180285956</v>
      </c>
      <c r="N42">
        <f t="shared" si="13"/>
        <v>0.204639333979684</v>
      </c>
      <c r="O42">
        <f t="shared" si="14"/>
        <v>0.000540663179352926</v>
      </c>
      <c r="P42" s="28"/>
      <c r="Q42" s="28"/>
      <c r="R42" s="28"/>
      <c r="S42" s="31"/>
    </row>
    <row r="43" spans="3:24">
      <c r="C43" s="22">
        <v>2.04921802267018</v>
      </c>
      <c r="D43">
        <v>80</v>
      </c>
      <c r="E43" s="22">
        <v>112</v>
      </c>
      <c r="F43" s="24">
        <v>4752</v>
      </c>
      <c r="G43" s="24">
        <v>4762</v>
      </c>
      <c r="H43" s="24">
        <v>4790</v>
      </c>
      <c r="I43">
        <f t="shared" si="9"/>
        <v>4768</v>
      </c>
      <c r="J43" s="25">
        <v>7757</v>
      </c>
      <c r="K43">
        <f t="shared" si="10"/>
        <v>0.212817359471048</v>
      </c>
      <c r="L43">
        <f t="shared" si="11"/>
        <v>0.211904400375324</v>
      </c>
      <c r="M43">
        <f t="shared" si="12"/>
        <v>0.209358278029622</v>
      </c>
      <c r="N43">
        <f t="shared" si="13"/>
        <v>0.211360012625332</v>
      </c>
      <c r="O43">
        <f t="shared" si="14"/>
        <v>0.00179264598327759</v>
      </c>
      <c r="S43" s="22"/>
      <c r="T43" s="4"/>
      <c r="U43" s="4"/>
      <c r="V43" s="4"/>
      <c r="X43" s="25"/>
    </row>
    <row r="44" spans="3:22">
      <c r="C44" s="22">
        <v>2.12057393120585</v>
      </c>
      <c r="D44">
        <v>100</v>
      </c>
      <c r="E44" s="22">
        <v>132</v>
      </c>
      <c r="F44" s="4">
        <v>4740</v>
      </c>
      <c r="G44" s="4">
        <v>4777</v>
      </c>
      <c r="H44" s="4">
        <v>4759</v>
      </c>
      <c r="I44">
        <f t="shared" si="9"/>
        <v>4758.66666666667</v>
      </c>
      <c r="J44" s="25">
        <v>7757</v>
      </c>
      <c r="K44">
        <f t="shared" si="10"/>
        <v>0.2139154497701</v>
      </c>
      <c r="L44">
        <f t="shared" si="11"/>
        <v>0.210538550160832</v>
      </c>
      <c r="M44">
        <f t="shared" si="12"/>
        <v>0.212178086645428</v>
      </c>
      <c r="N44">
        <f t="shared" si="13"/>
        <v>0.212210695525453</v>
      </c>
      <c r="O44">
        <f t="shared" si="14"/>
        <v>0.00168868595276393</v>
      </c>
      <c r="T44" s="4"/>
      <c r="U44" s="4"/>
      <c r="V44" s="4"/>
    </row>
    <row r="45" spans="3:24">
      <c r="C45" s="22">
        <v>2.18184358794477</v>
      </c>
      <c r="D45">
        <v>120</v>
      </c>
      <c r="E45" s="22">
        <v>152</v>
      </c>
      <c r="F45" s="24">
        <v>4684</v>
      </c>
      <c r="G45" s="24">
        <v>4651</v>
      </c>
      <c r="H45" s="24">
        <v>4689</v>
      </c>
      <c r="I45">
        <f t="shared" si="9"/>
        <v>4674.66666666667</v>
      </c>
      <c r="J45" s="25">
        <v>7757</v>
      </c>
      <c r="K45">
        <f t="shared" si="10"/>
        <v>0.21907690504386</v>
      </c>
      <c r="L45">
        <f t="shared" si="11"/>
        <v>0.222147451932669</v>
      </c>
      <c r="M45">
        <f t="shared" si="12"/>
        <v>0.218613558705336</v>
      </c>
      <c r="N45">
        <f t="shared" si="13"/>
        <v>0.219945971893955</v>
      </c>
      <c r="O45">
        <f t="shared" si="14"/>
        <v>0.00192056195630287</v>
      </c>
      <c r="S45" s="22"/>
      <c r="T45" s="4"/>
      <c r="U45" s="4"/>
      <c r="V45" s="4"/>
      <c r="X45" s="25"/>
    </row>
    <row r="46" spans="3:15">
      <c r="C46" s="22">
        <v>2.23552844690755</v>
      </c>
      <c r="D46">
        <v>140</v>
      </c>
      <c r="E46" s="22">
        <v>172</v>
      </c>
      <c r="F46" s="4">
        <v>4663</v>
      </c>
      <c r="G46" s="4">
        <v>4669</v>
      </c>
      <c r="H46" s="4">
        <v>4640</v>
      </c>
      <c r="I46">
        <f t="shared" si="9"/>
        <v>4657.33333333333</v>
      </c>
      <c r="J46" s="25">
        <v>7757</v>
      </c>
      <c r="K46">
        <f t="shared" si="10"/>
        <v>0.221028375989693</v>
      </c>
      <c r="L46">
        <f t="shared" si="11"/>
        <v>0.22046991751338</v>
      </c>
      <c r="M46">
        <f t="shared" si="12"/>
        <v>0.223175810889304</v>
      </c>
      <c r="N46">
        <f t="shared" si="13"/>
        <v>0.221558034797459</v>
      </c>
      <c r="O46">
        <f t="shared" si="14"/>
        <v>0.00142858971715167</v>
      </c>
    </row>
    <row r="47" spans="3:15">
      <c r="C47" s="22">
        <v>2.28330122870355</v>
      </c>
      <c r="D47">
        <v>160</v>
      </c>
      <c r="E47" s="22">
        <v>192</v>
      </c>
      <c r="F47" s="4">
        <v>4546</v>
      </c>
      <c r="G47" s="4">
        <v>4581</v>
      </c>
      <c r="H47" s="4">
        <v>4529</v>
      </c>
      <c r="I47">
        <f t="shared" si="9"/>
        <v>4552</v>
      </c>
      <c r="J47" s="25">
        <v>7757</v>
      </c>
      <c r="K47">
        <f t="shared" si="10"/>
        <v>0.232064360055233</v>
      </c>
      <c r="L47">
        <f t="shared" si="11"/>
        <v>0.228733499668102</v>
      </c>
      <c r="M47">
        <f t="shared" si="12"/>
        <v>0.233691470761228</v>
      </c>
      <c r="N47">
        <f t="shared" si="13"/>
        <v>0.231496443494854</v>
      </c>
      <c r="O47">
        <f t="shared" si="14"/>
        <v>0.00252730414765097</v>
      </c>
    </row>
    <row r="48" spans="3:15">
      <c r="C48" s="22">
        <v>2.32633586092875</v>
      </c>
      <c r="D48">
        <v>180</v>
      </c>
      <c r="E48" s="22">
        <v>212</v>
      </c>
      <c r="F48" s="4">
        <v>4436</v>
      </c>
      <c r="G48" s="4">
        <v>4562</v>
      </c>
      <c r="H48" s="4">
        <v>4538</v>
      </c>
      <c r="I48">
        <f t="shared" si="9"/>
        <v>4512</v>
      </c>
      <c r="J48" s="25">
        <v>7757</v>
      </c>
      <c r="K48">
        <f t="shared" si="10"/>
        <v>0.242702253967063</v>
      </c>
      <c r="L48">
        <f t="shared" si="11"/>
        <v>0.230538510503556</v>
      </c>
      <c r="M48">
        <f t="shared" si="12"/>
        <v>0.232829299895268</v>
      </c>
      <c r="N48">
        <f t="shared" si="13"/>
        <v>0.235356688121962</v>
      </c>
      <c r="O48">
        <f t="shared" si="14"/>
        <v>0.00646373979966923</v>
      </c>
    </row>
    <row r="49" spans="3:15">
      <c r="C49" s="22">
        <v>2.3654879848909</v>
      </c>
      <c r="D49">
        <v>200</v>
      </c>
      <c r="E49" s="22">
        <v>232</v>
      </c>
      <c r="F49" s="4">
        <v>4560</v>
      </c>
      <c r="G49" s="4">
        <v>4440</v>
      </c>
      <c r="H49" s="4">
        <v>4437</v>
      </c>
      <c r="I49">
        <f t="shared" si="9"/>
        <v>4479</v>
      </c>
      <c r="J49" s="25">
        <v>7757</v>
      </c>
      <c r="K49">
        <f t="shared" si="10"/>
        <v>0.23072894877975</v>
      </c>
      <c r="L49">
        <f t="shared" si="11"/>
        <v>0.242310821329565</v>
      </c>
      <c r="M49">
        <f t="shared" si="12"/>
        <v>0.24260436272763</v>
      </c>
      <c r="N49">
        <f t="shared" si="13"/>
        <v>0.238548044278982</v>
      </c>
      <c r="O49">
        <f t="shared" si="14"/>
        <v>0.00677312575238893</v>
      </c>
    </row>
    <row r="50" spans="3:15">
      <c r="C50" s="22">
        <v>2.45024910831936</v>
      </c>
      <c r="D50">
        <v>250</v>
      </c>
      <c r="E50" s="22">
        <v>282</v>
      </c>
      <c r="F50" s="4">
        <v>4444</v>
      </c>
      <c r="G50" s="4">
        <v>4424</v>
      </c>
      <c r="H50" s="4">
        <v>4436</v>
      </c>
      <c r="I50">
        <f t="shared" si="9"/>
        <v>4434.66666666667</v>
      </c>
      <c r="J50" s="25">
        <v>7757</v>
      </c>
      <c r="K50">
        <f t="shared" si="10"/>
        <v>0.241919741175355</v>
      </c>
      <c r="L50">
        <f t="shared" si="11"/>
        <v>0.243878673147543</v>
      </c>
      <c r="M50">
        <f t="shared" si="12"/>
        <v>0.242702253967063</v>
      </c>
      <c r="N50">
        <f t="shared" si="13"/>
        <v>0.242833556096654</v>
      </c>
      <c r="O50">
        <f t="shared" si="14"/>
        <v>0.000986044524776456</v>
      </c>
    </row>
    <row r="51" spans="3:15">
      <c r="C51" s="22">
        <v>2.52113808370404</v>
      </c>
      <c r="D51">
        <v>300</v>
      </c>
      <c r="E51" s="22">
        <v>332</v>
      </c>
      <c r="F51" s="4">
        <v>4317</v>
      </c>
      <c r="G51" s="4">
        <v>4382</v>
      </c>
      <c r="H51" s="4">
        <v>4379</v>
      </c>
      <c r="I51">
        <f t="shared" si="9"/>
        <v>4359.33333333333</v>
      </c>
      <c r="J51" s="25">
        <v>7757</v>
      </c>
      <c r="K51">
        <f t="shared" si="10"/>
        <v>0.254511742787918</v>
      </c>
      <c r="L51">
        <f t="shared" si="11"/>
        <v>0.248021418219499</v>
      </c>
      <c r="M51">
        <f t="shared" si="12"/>
        <v>0.24831884625206</v>
      </c>
      <c r="N51">
        <f t="shared" si="13"/>
        <v>0.250284002419825</v>
      </c>
      <c r="O51">
        <f t="shared" si="14"/>
        <v>0.00366434950893553</v>
      </c>
    </row>
    <row r="52" spans="3:15">
      <c r="C52" s="22">
        <v>2.58206336291171</v>
      </c>
      <c r="D52">
        <v>350</v>
      </c>
      <c r="E52" s="22">
        <v>382</v>
      </c>
      <c r="F52" s="4">
        <v>4261</v>
      </c>
      <c r="G52" s="4">
        <v>4287</v>
      </c>
      <c r="H52" s="4">
        <v>4286</v>
      </c>
      <c r="I52">
        <f t="shared" si="9"/>
        <v>4278</v>
      </c>
      <c r="J52" s="25">
        <v>7757</v>
      </c>
      <c r="K52">
        <f t="shared" si="10"/>
        <v>0.260182257243732</v>
      </c>
      <c r="L52">
        <f t="shared" si="11"/>
        <v>0.257540307933553</v>
      </c>
      <c r="M52">
        <f t="shared" si="12"/>
        <v>0.257641624738375</v>
      </c>
      <c r="N52">
        <f t="shared" si="13"/>
        <v>0.258454729971887</v>
      </c>
      <c r="O52">
        <f t="shared" si="14"/>
        <v>0.00149693992196147</v>
      </c>
    </row>
    <row r="53" spans="3:15">
      <c r="C53" s="22">
        <v>2.63748972951251</v>
      </c>
      <c r="D53">
        <v>400</v>
      </c>
      <c r="E53" s="22">
        <v>434</v>
      </c>
      <c r="F53" s="4">
        <v>4267</v>
      </c>
      <c r="G53" s="4">
        <v>4257</v>
      </c>
      <c r="H53" s="4">
        <v>4258</v>
      </c>
      <c r="I53">
        <f t="shared" si="9"/>
        <v>4260.66666666667</v>
      </c>
      <c r="J53" s="25">
        <v>7757</v>
      </c>
      <c r="K53">
        <f t="shared" si="10"/>
        <v>0.259571148584873</v>
      </c>
      <c r="L53">
        <f t="shared" si="11"/>
        <v>0.260590141267049</v>
      </c>
      <c r="M53">
        <f t="shared" si="12"/>
        <v>0.260488134341882</v>
      </c>
      <c r="N53">
        <f t="shared" si="13"/>
        <v>0.260216474731268</v>
      </c>
      <c r="O53">
        <f t="shared" si="14"/>
        <v>0.000561191348481921</v>
      </c>
    </row>
    <row r="54" spans="3:15">
      <c r="C54" s="22">
        <v>2.68304703823885</v>
      </c>
      <c r="D54">
        <v>450</v>
      </c>
      <c r="E54" s="22">
        <v>482</v>
      </c>
      <c r="F54" s="1">
        <v>4198</v>
      </c>
      <c r="G54" s="1">
        <v>4222</v>
      </c>
      <c r="H54" s="1">
        <v>4243</v>
      </c>
      <c r="I54" s="29">
        <f t="shared" si="9"/>
        <v>4221</v>
      </c>
      <c r="J54" s="25">
        <v>7757</v>
      </c>
      <c r="K54">
        <f t="shared" si="10"/>
        <v>0.266651357197804</v>
      </c>
      <c r="L54">
        <f t="shared" si="11"/>
        <v>0.264175562472548</v>
      </c>
      <c r="M54">
        <f t="shared" si="12"/>
        <v>0.262020759677569</v>
      </c>
      <c r="N54">
        <f t="shared" si="13"/>
        <v>0.26428255978264</v>
      </c>
      <c r="O54">
        <f t="shared" si="14"/>
        <v>0.00231715227528861</v>
      </c>
    </row>
    <row r="55" spans="3:15">
      <c r="C55" s="22">
        <v>2.72591163229505</v>
      </c>
      <c r="D55">
        <v>500</v>
      </c>
      <c r="E55" s="22">
        <v>532</v>
      </c>
      <c r="F55" s="1">
        <v>4186</v>
      </c>
      <c r="G55" s="1">
        <v>4151</v>
      </c>
      <c r="H55" s="1">
        <v>4171</v>
      </c>
      <c r="I55" s="29">
        <f t="shared" si="9"/>
        <v>4169.33333333333</v>
      </c>
      <c r="J55" s="25">
        <v>7757</v>
      </c>
      <c r="K55">
        <f t="shared" si="10"/>
        <v>0.267894567441518</v>
      </c>
      <c r="L55">
        <f t="shared" si="11"/>
        <v>0.271541058065666</v>
      </c>
      <c r="M55">
        <f t="shared" si="12"/>
        <v>0.269453601598354</v>
      </c>
      <c r="N55">
        <f t="shared" si="13"/>
        <v>0.269629742368513</v>
      </c>
      <c r="O55">
        <f t="shared" si="14"/>
        <v>0.00182961543669274</v>
      </c>
    </row>
    <row r="60" spans="4:4">
      <c r="D60" s="22"/>
    </row>
    <row r="61" spans="4:4">
      <c r="D61" s="22"/>
    </row>
    <row r="62" spans="4:4">
      <c r="D62" s="22"/>
    </row>
    <row r="63" spans="4:4">
      <c r="D63" s="22"/>
    </row>
    <row r="64" spans="4:6">
      <c r="D64" s="22"/>
      <c r="E64" s="4"/>
      <c r="F64" s="4"/>
    </row>
    <row r="65" spans="4:6">
      <c r="D65" s="22"/>
      <c r="E65" s="4"/>
      <c r="F65" s="4"/>
    </row>
    <row r="66" spans="4:4">
      <c r="D66" s="22"/>
    </row>
    <row r="67" spans="4:4">
      <c r="D67" s="22"/>
    </row>
    <row r="68" spans="4:4">
      <c r="D68" s="22"/>
    </row>
    <row r="69" spans="4:4">
      <c r="D69" s="22"/>
    </row>
    <row r="70" spans="4:4">
      <c r="D70" s="22"/>
    </row>
    <row r="71" spans="4:4">
      <c r="D71" s="22"/>
    </row>
    <row r="72" spans="4:4">
      <c r="D72" s="22"/>
    </row>
    <row r="73" spans="4:4">
      <c r="D73" s="22"/>
    </row>
    <row r="74" spans="4:4">
      <c r="D74" s="22"/>
    </row>
    <row r="75" spans="4:5">
      <c r="D75" s="22"/>
      <c r="E75" s="26"/>
    </row>
    <row r="76" spans="4:5">
      <c r="D76" s="22"/>
      <c r="E76" s="2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209"/>
  <sheetViews>
    <sheetView workbookViewId="0">
      <selection activeCell="T10" sqref="T10"/>
    </sheetView>
  </sheetViews>
  <sheetFormatPr defaultColWidth="8.88888888888889" defaultRowHeight="14.4"/>
  <cols>
    <col min="10" max="10" width="12.8888888888889"/>
    <col min="12" max="19" width="12.8888888888889"/>
  </cols>
  <sheetData>
    <row r="1" customFormat="1" spans="10:11">
      <c r="J1" s="1"/>
      <c r="K1" s="8" t="s">
        <v>9</v>
      </c>
    </row>
    <row r="2" s="1" customFormat="1" spans="3:19"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3</v>
      </c>
      <c r="L2" s="1" t="s">
        <v>18</v>
      </c>
      <c r="M2" s="1" t="s">
        <v>19</v>
      </c>
      <c r="N2" s="1" t="s">
        <v>20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5</v>
      </c>
    </row>
    <row r="3" spans="3:19">
      <c r="C3" t="s">
        <v>0</v>
      </c>
      <c r="D3">
        <v>3247</v>
      </c>
      <c r="E3">
        <v>3420</v>
      </c>
      <c r="F3">
        <v>3270</v>
      </c>
      <c r="G3">
        <v>3267</v>
      </c>
      <c r="H3">
        <v>3364</v>
      </c>
      <c r="I3">
        <v>3420</v>
      </c>
      <c r="J3" s="1">
        <f>AVERAGE(D3:I3)</f>
        <v>3331.33333333333</v>
      </c>
      <c r="K3" s="9">
        <v>4623</v>
      </c>
      <c r="L3">
        <f>LOG10(K3/D3)</f>
        <v>0.15344160481208</v>
      </c>
      <c r="M3">
        <f>LOG10(K3/E3)</f>
        <v>0.130897787381947</v>
      </c>
      <c r="N3">
        <f>LOG10(K3/F3)</f>
        <v>0.150376140777796</v>
      </c>
      <c r="O3">
        <f>LOG10(K3/G3)</f>
        <v>0.150774758962644</v>
      </c>
      <c r="P3">
        <f>LOG10(K3/H3)</f>
        <v>0.138067906312207</v>
      </c>
      <c r="Q3">
        <f>LOG10(K3/I3)</f>
        <v>0.130897787381947</v>
      </c>
      <c r="R3">
        <f>AVERAGE(L3:Q3)</f>
        <v>0.142409330938104</v>
      </c>
      <c r="S3">
        <f>STDEV(L3:Q3)</f>
        <v>0.0103830703528287</v>
      </c>
    </row>
    <row r="4" spans="3:19">
      <c r="C4">
        <v>20</v>
      </c>
      <c r="D4">
        <v>3528</v>
      </c>
      <c r="E4">
        <v>3373</v>
      </c>
      <c r="F4">
        <v>3391</v>
      </c>
      <c r="G4">
        <v>3413</v>
      </c>
      <c r="H4">
        <v>3471</v>
      </c>
      <c r="I4">
        <v>3380</v>
      </c>
      <c r="J4" s="1">
        <f t="shared" ref="J4:J67" si="0">AVERAGE(D4:I4)</f>
        <v>3426</v>
      </c>
      <c r="K4" s="9">
        <v>4623</v>
      </c>
      <c r="L4">
        <f t="shared" ref="L4:L67" si="1">LOG10(K4/D4)</f>
        <v>0.1173953169783</v>
      </c>
      <c r="M4">
        <f t="shared" ref="M4:M67" si="2">LOG10(K4/E4)</f>
        <v>0.13690755224888</v>
      </c>
      <c r="N4">
        <f t="shared" ref="N4:N67" si="3">LOG10(K4/F4)</f>
        <v>0.134596103659995</v>
      </c>
      <c r="O4">
        <f t="shared" ref="O4:O67" si="4">LOG10(K4/G4)</f>
        <v>0.131787605159443</v>
      </c>
      <c r="P4">
        <f t="shared" ref="P4:P67" si="5">LOG10(K4/H4)</f>
        <v>0.12446927976667</v>
      </c>
      <c r="Q4">
        <f t="shared" ref="Q4:Q67" si="6">LOG10(K4/I4)</f>
        <v>0.136007193160427</v>
      </c>
      <c r="R4">
        <f t="shared" ref="R4:R67" si="7">AVERAGE(L4:Q4)</f>
        <v>0.130193841828952</v>
      </c>
      <c r="S4">
        <f t="shared" ref="S4:S67" si="8">STDEV(L4:Q4)</f>
        <v>0.0077118324832193</v>
      </c>
    </row>
    <row r="5" spans="3:19">
      <c r="C5">
        <v>40</v>
      </c>
      <c r="D5">
        <v>3442</v>
      </c>
      <c r="E5">
        <v>3559</v>
      </c>
      <c r="F5">
        <v>3325</v>
      </c>
      <c r="G5">
        <v>3448</v>
      </c>
      <c r="H5">
        <v>3434</v>
      </c>
      <c r="I5">
        <v>3463</v>
      </c>
      <c r="J5" s="1">
        <f t="shared" si="0"/>
        <v>3445.16666666667</v>
      </c>
      <c r="K5" s="9">
        <v>4623</v>
      </c>
      <c r="L5">
        <f t="shared" si="1"/>
        <v>0.12811302744654</v>
      </c>
      <c r="M5">
        <f t="shared" si="2"/>
        <v>0.113595905434236</v>
      </c>
      <c r="N5">
        <f t="shared" si="3"/>
        <v>0.143132243798958</v>
      </c>
      <c r="O5">
        <f t="shared" si="4"/>
        <v>0.127356636285407</v>
      </c>
      <c r="P5">
        <f t="shared" si="5"/>
        <v>0.129123602613184</v>
      </c>
      <c r="Q5">
        <f t="shared" si="6"/>
        <v>0.125471401888621</v>
      </c>
      <c r="R5">
        <f t="shared" si="7"/>
        <v>0.127798802911158</v>
      </c>
      <c r="S5">
        <f t="shared" si="8"/>
        <v>0.00942658840040647</v>
      </c>
    </row>
    <row r="6" spans="3:19">
      <c r="C6">
        <v>60</v>
      </c>
      <c r="D6">
        <v>3350</v>
      </c>
      <c r="E6">
        <v>3374</v>
      </c>
      <c r="F6">
        <v>3321</v>
      </c>
      <c r="G6">
        <v>3424</v>
      </c>
      <c r="H6">
        <v>3375</v>
      </c>
      <c r="I6">
        <v>3426</v>
      </c>
      <c r="J6" s="1">
        <f t="shared" si="0"/>
        <v>3378.33333333333</v>
      </c>
      <c r="K6" s="9">
        <v>4623</v>
      </c>
      <c r="L6">
        <f t="shared" si="1"/>
        <v>0.139879086401236</v>
      </c>
      <c r="M6">
        <f t="shared" si="2"/>
        <v>0.136778815184975</v>
      </c>
      <c r="N6">
        <f t="shared" si="3"/>
        <v>0.143655017839697</v>
      </c>
      <c r="O6">
        <f t="shared" si="4"/>
        <v>0.130390137432966</v>
      </c>
      <c r="P6">
        <f t="shared" si="5"/>
        <v>0.136650116271038</v>
      </c>
      <c r="Q6">
        <f t="shared" si="6"/>
        <v>0.13013653480859</v>
      </c>
      <c r="R6">
        <f t="shared" si="7"/>
        <v>0.136248284656417</v>
      </c>
      <c r="S6">
        <f t="shared" si="8"/>
        <v>0.00529446360155128</v>
      </c>
    </row>
    <row r="7" spans="3:19">
      <c r="C7">
        <v>80</v>
      </c>
      <c r="D7">
        <v>3340</v>
      </c>
      <c r="E7">
        <v>3394</v>
      </c>
      <c r="F7">
        <v>3422</v>
      </c>
      <c r="G7">
        <v>3354</v>
      </c>
      <c r="H7">
        <v>3379</v>
      </c>
      <c r="I7">
        <v>3300</v>
      </c>
      <c r="J7" s="1">
        <f t="shared" si="0"/>
        <v>3364.83333333333</v>
      </c>
      <c r="K7" s="9">
        <v>4623</v>
      </c>
      <c r="L7">
        <f t="shared" si="1"/>
        <v>0.141177426626517</v>
      </c>
      <c r="M7">
        <f t="shared" si="2"/>
        <v>0.134212055456425</v>
      </c>
      <c r="N7">
        <f t="shared" si="3"/>
        <v>0.130643888233</v>
      </c>
      <c r="O7">
        <f t="shared" si="4"/>
        <v>0.139360835168015</v>
      </c>
      <c r="P7">
        <f t="shared" si="5"/>
        <v>0.136135701663185</v>
      </c>
      <c r="Q7">
        <f t="shared" si="6"/>
        <v>0.146409953560194</v>
      </c>
      <c r="R7">
        <f t="shared" si="7"/>
        <v>0.137989976784556</v>
      </c>
      <c r="S7">
        <f t="shared" si="8"/>
        <v>0.00556077586132343</v>
      </c>
    </row>
    <row r="8" spans="3:19">
      <c r="C8">
        <v>100</v>
      </c>
      <c r="D8">
        <v>3347</v>
      </c>
      <c r="E8">
        <v>3324</v>
      </c>
      <c r="F8">
        <v>3453</v>
      </c>
      <c r="G8">
        <v>3326</v>
      </c>
      <c r="H8">
        <v>3306</v>
      </c>
      <c r="I8">
        <v>3265</v>
      </c>
      <c r="J8" s="1">
        <f t="shared" si="0"/>
        <v>3336.83333333333</v>
      </c>
      <c r="K8" s="9">
        <v>4623</v>
      </c>
      <c r="L8">
        <f t="shared" si="1"/>
        <v>0.140268181080305</v>
      </c>
      <c r="M8">
        <f t="shared" si="2"/>
        <v>0.143262878326008</v>
      </c>
      <c r="N8">
        <f t="shared" si="3"/>
        <v>0.126727315088628</v>
      </c>
      <c r="O8">
        <f t="shared" si="4"/>
        <v>0.143001648554581</v>
      </c>
      <c r="P8">
        <f t="shared" si="5"/>
        <v>0.145621044202653</v>
      </c>
      <c r="Q8">
        <f t="shared" si="6"/>
        <v>0.151040707826989</v>
      </c>
      <c r="R8">
        <f t="shared" si="7"/>
        <v>0.141653629179861</v>
      </c>
      <c r="S8">
        <f t="shared" si="8"/>
        <v>0.00816062234546067</v>
      </c>
    </row>
    <row r="9" spans="3:19">
      <c r="C9">
        <v>120</v>
      </c>
      <c r="D9" s="2">
        <v>3517</v>
      </c>
      <c r="E9" s="2">
        <v>3339</v>
      </c>
      <c r="F9" s="2">
        <v>3304</v>
      </c>
      <c r="G9" s="2">
        <v>3332</v>
      </c>
      <c r="H9" s="2">
        <v>3458</v>
      </c>
      <c r="I9" s="2">
        <v>3588</v>
      </c>
      <c r="J9" s="1">
        <f t="shared" si="0"/>
        <v>3423</v>
      </c>
      <c r="K9" s="9">
        <v>4623</v>
      </c>
      <c r="L9">
        <f t="shared" si="1"/>
        <v>0.118751525121139</v>
      </c>
      <c r="M9">
        <f t="shared" si="2"/>
        <v>0.141307474383711</v>
      </c>
      <c r="N9">
        <f t="shared" si="3"/>
        <v>0.145883854789737</v>
      </c>
      <c r="O9">
        <f t="shared" si="4"/>
        <v>0.142218900703332</v>
      </c>
      <c r="P9">
        <f t="shared" si="5"/>
        <v>0.126098904500178</v>
      </c>
      <c r="Q9">
        <f t="shared" si="6"/>
        <v>0.110071459066027</v>
      </c>
      <c r="R9">
        <f t="shared" si="7"/>
        <v>0.130722019760687</v>
      </c>
      <c r="S9">
        <f t="shared" si="8"/>
        <v>0.0145960471091649</v>
      </c>
    </row>
    <row r="10" spans="2:19">
      <c r="B10" s="3" t="s">
        <v>24</v>
      </c>
      <c r="C10">
        <v>140</v>
      </c>
      <c r="D10">
        <v>3328</v>
      </c>
      <c r="E10">
        <v>3343</v>
      </c>
      <c r="F10">
        <v>3178</v>
      </c>
      <c r="G10">
        <v>3363</v>
      </c>
      <c r="H10">
        <v>3284</v>
      </c>
      <c r="I10">
        <v>3302</v>
      </c>
      <c r="J10" s="1">
        <f t="shared" si="0"/>
        <v>3299.66666666667</v>
      </c>
      <c r="K10" s="9">
        <v>4623</v>
      </c>
      <c r="L10">
        <f t="shared" si="1"/>
        <v>0.142740575819395</v>
      </c>
      <c r="M10">
        <f t="shared" si="2"/>
        <v>0.140787516845513</v>
      </c>
      <c r="N10">
        <f t="shared" si="3"/>
        <v>0.162770000566721</v>
      </c>
      <c r="O10">
        <f t="shared" si="4"/>
        <v>0.138197026123446</v>
      </c>
      <c r="P10">
        <f t="shared" si="5"/>
        <v>0.148520744990679</v>
      </c>
      <c r="Q10">
        <f t="shared" si="6"/>
        <v>0.146146824511307</v>
      </c>
      <c r="R10">
        <f t="shared" si="7"/>
        <v>0.14652711480951</v>
      </c>
      <c r="S10">
        <f t="shared" si="8"/>
        <v>0.00877065287833973</v>
      </c>
    </row>
    <row r="11" spans="3:19">
      <c r="C11">
        <v>160</v>
      </c>
      <c r="D11">
        <v>3148</v>
      </c>
      <c r="E11">
        <v>3257</v>
      </c>
      <c r="F11">
        <v>3207</v>
      </c>
      <c r="G11">
        <v>3242</v>
      </c>
      <c r="H11">
        <v>3155</v>
      </c>
      <c r="I11">
        <v>3235</v>
      </c>
      <c r="J11" s="1">
        <f t="shared" si="0"/>
        <v>3207.33333333333</v>
      </c>
      <c r="K11" s="9">
        <v>4623</v>
      </c>
      <c r="L11">
        <f t="shared" si="1"/>
        <v>0.166889169751055</v>
      </c>
      <c r="M11">
        <f t="shared" si="2"/>
        <v>0.152106134873209</v>
      </c>
      <c r="N11">
        <f t="shared" si="3"/>
        <v>0.158824933509641</v>
      </c>
      <c r="O11">
        <f t="shared" si="4"/>
        <v>0.154110882925586</v>
      </c>
      <c r="P11">
        <f t="shared" si="5"/>
        <v>0.165924529857929</v>
      </c>
      <c r="Q11">
        <f t="shared" si="6"/>
        <v>0.155049608433363</v>
      </c>
      <c r="R11">
        <f t="shared" si="7"/>
        <v>0.15881754322513</v>
      </c>
      <c r="S11">
        <f t="shared" si="8"/>
        <v>0.00627779346945493</v>
      </c>
    </row>
    <row r="12" spans="3:19">
      <c r="C12">
        <v>180</v>
      </c>
      <c r="D12">
        <v>3129</v>
      </c>
      <c r="E12">
        <v>3282</v>
      </c>
      <c r="F12">
        <v>3060</v>
      </c>
      <c r="G12">
        <v>3082</v>
      </c>
      <c r="H12">
        <v>3233</v>
      </c>
      <c r="I12">
        <v>3238</v>
      </c>
      <c r="J12" s="1">
        <f t="shared" si="0"/>
        <v>3170.66666666667</v>
      </c>
      <c r="K12" s="9">
        <v>4623</v>
      </c>
      <c r="L12">
        <f t="shared" si="1"/>
        <v>0.169518330291888</v>
      </c>
      <c r="M12">
        <f t="shared" si="2"/>
        <v>0.148785316721007</v>
      </c>
      <c r="N12">
        <f t="shared" si="3"/>
        <v>0.179202466956502</v>
      </c>
      <c r="O12">
        <f t="shared" si="4"/>
        <v>0.176091259055681</v>
      </c>
      <c r="P12">
        <f t="shared" si="5"/>
        <v>0.155318188826526</v>
      </c>
      <c r="Q12">
        <f t="shared" si="6"/>
        <v>0.154647049020727</v>
      </c>
      <c r="R12">
        <f t="shared" si="7"/>
        <v>0.163927101812055</v>
      </c>
      <c r="S12">
        <f t="shared" si="8"/>
        <v>0.0126654787197585</v>
      </c>
    </row>
    <row r="13" spans="3:19">
      <c r="C13">
        <v>200</v>
      </c>
      <c r="D13">
        <v>3230</v>
      </c>
      <c r="E13">
        <v>3034</v>
      </c>
      <c r="F13">
        <v>3131</v>
      </c>
      <c r="G13">
        <v>3124</v>
      </c>
      <c r="H13">
        <v>3131</v>
      </c>
      <c r="I13">
        <v>3035</v>
      </c>
      <c r="J13" s="1">
        <f t="shared" si="0"/>
        <v>3114.16666666667</v>
      </c>
      <c r="K13" s="9">
        <v>4623</v>
      </c>
      <c r="L13">
        <f t="shared" si="1"/>
        <v>0.155721371106979</v>
      </c>
      <c r="M13">
        <f t="shared" si="2"/>
        <v>0.18290831698737</v>
      </c>
      <c r="N13">
        <f t="shared" si="3"/>
        <v>0.169240825821166</v>
      </c>
      <c r="O13">
        <f t="shared" si="4"/>
        <v>0.170212868232819</v>
      </c>
      <c r="P13">
        <f t="shared" si="5"/>
        <v>0.169240825821166</v>
      </c>
      <c r="Q13">
        <f t="shared" si="6"/>
        <v>0.182765198026805</v>
      </c>
      <c r="R13">
        <f t="shared" si="7"/>
        <v>0.171681567666051</v>
      </c>
      <c r="S13">
        <f t="shared" si="8"/>
        <v>0.0101753246241455</v>
      </c>
    </row>
    <row r="14" spans="3:19">
      <c r="C14">
        <v>250</v>
      </c>
      <c r="D14">
        <v>3227</v>
      </c>
      <c r="E14">
        <v>3250</v>
      </c>
      <c r="F14">
        <v>3415</v>
      </c>
      <c r="G14">
        <v>3162</v>
      </c>
      <c r="H14">
        <v>3143</v>
      </c>
      <c r="I14">
        <v>3161</v>
      </c>
      <c r="J14" s="1">
        <f t="shared" si="0"/>
        <v>3226.33333333333</v>
      </c>
      <c r="K14" s="9">
        <v>4623</v>
      </c>
      <c r="L14">
        <f t="shared" si="1"/>
        <v>0.156124928034177</v>
      </c>
      <c r="M14">
        <f t="shared" si="2"/>
        <v>0.153040532459207</v>
      </c>
      <c r="N14">
        <f t="shared" si="3"/>
        <v>0.13153318542053</v>
      </c>
      <c r="O14">
        <f t="shared" si="4"/>
        <v>0.164962027841892</v>
      </c>
      <c r="P14">
        <f t="shared" si="5"/>
        <v>0.167579512420502</v>
      </c>
      <c r="Q14">
        <f t="shared" si="6"/>
        <v>0.165099397598502</v>
      </c>
      <c r="R14">
        <f t="shared" si="7"/>
        <v>0.156389930629135</v>
      </c>
      <c r="S14">
        <f t="shared" si="8"/>
        <v>0.0134438750590941</v>
      </c>
    </row>
    <row r="15" spans="3:19">
      <c r="C15">
        <v>300</v>
      </c>
      <c r="D15">
        <v>3037</v>
      </c>
      <c r="E15">
        <v>3033</v>
      </c>
      <c r="F15">
        <v>2985</v>
      </c>
      <c r="G15">
        <v>2989</v>
      </c>
      <c r="H15">
        <v>3076</v>
      </c>
      <c r="I15">
        <v>3111</v>
      </c>
      <c r="J15" s="1">
        <f t="shared" si="0"/>
        <v>3038.5</v>
      </c>
      <c r="K15" s="9">
        <v>4623</v>
      </c>
      <c r="L15">
        <f t="shared" si="1"/>
        <v>0.182479101519817</v>
      </c>
      <c r="M15">
        <f t="shared" si="2"/>
        <v>0.183051483127418</v>
      </c>
      <c r="N15">
        <f t="shared" si="3"/>
        <v>0.189979557972694</v>
      </c>
      <c r="O15">
        <f t="shared" si="4"/>
        <v>0.189397978398801</v>
      </c>
      <c r="P15">
        <f t="shared" si="5"/>
        <v>0.176937562308688</v>
      </c>
      <c r="Q15">
        <f t="shared" si="6"/>
        <v>0.172023882329378</v>
      </c>
      <c r="R15">
        <f t="shared" si="7"/>
        <v>0.182311594276133</v>
      </c>
      <c r="S15">
        <f t="shared" si="8"/>
        <v>0.00699009639506116</v>
      </c>
    </row>
    <row r="16" spans="3:19">
      <c r="C16">
        <v>350</v>
      </c>
      <c r="D16">
        <v>3008</v>
      </c>
      <c r="E16">
        <v>3004</v>
      </c>
      <c r="F16">
        <v>3107</v>
      </c>
      <c r="G16">
        <v>3021</v>
      </c>
      <c r="H16">
        <v>3026</v>
      </c>
      <c r="I16">
        <v>3184</v>
      </c>
      <c r="J16" s="1">
        <f t="shared" si="0"/>
        <v>3058.33333333333</v>
      </c>
      <c r="K16" s="9">
        <v>4623</v>
      </c>
      <c r="L16">
        <f t="shared" si="1"/>
        <v>0.186646061518477</v>
      </c>
      <c r="M16">
        <f t="shared" si="2"/>
        <v>0.187223965105951</v>
      </c>
      <c r="N16">
        <f t="shared" si="3"/>
        <v>0.172582640183107</v>
      </c>
      <c r="O16">
        <f t="shared" si="4"/>
        <v>0.184773168164801</v>
      </c>
      <c r="P16">
        <f t="shared" si="5"/>
        <v>0.184054969750914</v>
      </c>
      <c r="Q16">
        <f t="shared" si="6"/>
        <v>0.16195083437245</v>
      </c>
      <c r="R16">
        <f t="shared" si="7"/>
        <v>0.17953860651595</v>
      </c>
      <c r="S16">
        <f t="shared" si="8"/>
        <v>0.0101498179529577</v>
      </c>
    </row>
    <row r="17" spans="3:19">
      <c r="C17">
        <v>400</v>
      </c>
      <c r="D17">
        <v>3034</v>
      </c>
      <c r="E17">
        <v>2981</v>
      </c>
      <c r="F17">
        <v>2988</v>
      </c>
      <c r="G17">
        <v>2978</v>
      </c>
      <c r="H17">
        <v>2990</v>
      </c>
      <c r="I17">
        <v>3172</v>
      </c>
      <c r="J17" s="1">
        <f t="shared" si="0"/>
        <v>3023.83333333333</v>
      </c>
      <c r="K17" s="9">
        <v>4623</v>
      </c>
      <c r="L17">
        <f t="shared" si="1"/>
        <v>0.18290831698737</v>
      </c>
      <c r="M17">
        <f t="shared" si="2"/>
        <v>0.190561917405451</v>
      </c>
      <c r="N17">
        <f t="shared" si="3"/>
        <v>0.189543300294721</v>
      </c>
      <c r="O17">
        <f t="shared" si="4"/>
        <v>0.190999200021924</v>
      </c>
      <c r="P17">
        <f t="shared" si="5"/>
        <v>0.189252705113652</v>
      </c>
      <c r="Q17">
        <f t="shared" si="6"/>
        <v>0.163590714792516</v>
      </c>
      <c r="R17">
        <f t="shared" si="7"/>
        <v>0.184476025769272</v>
      </c>
      <c r="S17">
        <f t="shared" si="8"/>
        <v>0.0106464805586987</v>
      </c>
    </row>
    <row r="18" spans="3:19">
      <c r="C18">
        <v>450</v>
      </c>
      <c r="D18">
        <v>2992</v>
      </c>
      <c r="E18">
        <v>2994</v>
      </c>
      <c r="F18">
        <v>2932</v>
      </c>
      <c r="G18">
        <v>3030</v>
      </c>
      <c r="H18">
        <v>2995</v>
      </c>
      <c r="I18">
        <v>2992</v>
      </c>
      <c r="J18" s="1">
        <f t="shared" si="0"/>
        <v>2989.16666666667</v>
      </c>
      <c r="K18" s="9">
        <v>4623</v>
      </c>
      <c r="L18">
        <f t="shared" si="1"/>
        <v>0.188962304245658</v>
      </c>
      <c r="M18">
        <f t="shared" si="2"/>
        <v>0.188672097431048</v>
      </c>
      <c r="N18">
        <f t="shared" si="3"/>
        <v>0.197759927468991</v>
      </c>
      <c r="O18">
        <f t="shared" si="4"/>
        <v>0.183481264935777</v>
      </c>
      <c r="P18">
        <f t="shared" si="5"/>
        <v>0.188527066712752</v>
      </c>
      <c r="Q18">
        <f t="shared" si="6"/>
        <v>0.188962304245658</v>
      </c>
      <c r="R18">
        <f t="shared" si="7"/>
        <v>0.189394160839981</v>
      </c>
      <c r="S18">
        <f t="shared" si="8"/>
        <v>0.00461724197531678</v>
      </c>
    </row>
    <row r="19" spans="3:19">
      <c r="C19">
        <v>500</v>
      </c>
      <c r="D19">
        <v>2951</v>
      </c>
      <c r="E19">
        <v>2916</v>
      </c>
      <c r="F19">
        <v>2930</v>
      </c>
      <c r="G19">
        <v>2940</v>
      </c>
      <c r="H19">
        <v>3157</v>
      </c>
      <c r="I19">
        <v>3083</v>
      </c>
      <c r="J19" s="1">
        <f t="shared" si="0"/>
        <v>2996.16666666667</v>
      </c>
      <c r="K19" s="9">
        <v>4623</v>
      </c>
      <c r="L19">
        <f t="shared" si="1"/>
        <v>0.194954683938122</v>
      </c>
      <c r="M19">
        <f t="shared" si="2"/>
        <v>0.200136373792145</v>
      </c>
      <c r="N19">
        <f t="shared" si="3"/>
        <v>0.198056273083972</v>
      </c>
      <c r="O19">
        <f t="shared" si="4"/>
        <v>0.196576563025924</v>
      </c>
      <c r="P19">
        <f t="shared" si="5"/>
        <v>0.165649311545864</v>
      </c>
      <c r="Q19">
        <f t="shared" si="6"/>
        <v>0.175950368711573</v>
      </c>
      <c r="R19">
        <f t="shared" si="7"/>
        <v>0.188553929016267</v>
      </c>
      <c r="S19">
        <f t="shared" si="8"/>
        <v>0.0142355268508714</v>
      </c>
    </row>
    <row r="20" spans="10:10">
      <c r="J20" s="1"/>
    </row>
    <row r="21" spans="10:10">
      <c r="J21" s="1"/>
    </row>
    <row r="22" spans="3:19">
      <c r="C22" t="s">
        <v>0</v>
      </c>
      <c r="D22" s="4">
        <v>5065</v>
      </c>
      <c r="E22" s="4">
        <v>5289</v>
      </c>
      <c r="F22" s="4">
        <v>5111</v>
      </c>
      <c r="G22" s="4">
        <v>5108</v>
      </c>
      <c r="H22" s="4">
        <v>5235</v>
      </c>
      <c r="I22" s="4">
        <v>5271</v>
      </c>
      <c r="J22" s="1">
        <f t="shared" si="0"/>
        <v>5179.83333333333</v>
      </c>
      <c r="K22" s="10">
        <v>7757</v>
      </c>
      <c r="L22">
        <f t="shared" si="1"/>
        <v>0.185114341747886</v>
      </c>
      <c r="M22">
        <f t="shared" si="2"/>
        <v>0.166320224425201</v>
      </c>
      <c r="N22">
        <f t="shared" si="3"/>
        <v>0.181187910488948</v>
      </c>
      <c r="O22">
        <f t="shared" si="4"/>
        <v>0.181442902852808</v>
      </c>
      <c r="P22">
        <f t="shared" si="5"/>
        <v>0.170777105429324</v>
      </c>
      <c r="Q22">
        <f t="shared" si="6"/>
        <v>0.167800775229228</v>
      </c>
      <c r="R22">
        <f t="shared" si="7"/>
        <v>0.175440543362232</v>
      </c>
      <c r="S22">
        <f t="shared" si="8"/>
        <v>0.00807386959942956</v>
      </c>
    </row>
    <row r="23" spans="3:19">
      <c r="C23">
        <v>20</v>
      </c>
      <c r="D23" s="4">
        <v>5139</v>
      </c>
      <c r="E23" s="4">
        <v>4975</v>
      </c>
      <c r="F23" s="4">
        <v>5000</v>
      </c>
      <c r="G23" s="4">
        <v>5000</v>
      </c>
      <c r="H23" s="4">
        <v>5055</v>
      </c>
      <c r="I23" s="4">
        <v>4954</v>
      </c>
      <c r="J23" s="1">
        <f t="shared" si="0"/>
        <v>5020.5</v>
      </c>
      <c r="K23" s="10">
        <v>7757</v>
      </c>
      <c r="L23">
        <f t="shared" si="1"/>
        <v>0.178815173759012</v>
      </c>
      <c r="M23">
        <f t="shared" si="2"/>
        <v>0.192900706362441</v>
      </c>
      <c r="N23">
        <f t="shared" si="3"/>
        <v>0.190723787108166</v>
      </c>
      <c r="O23">
        <f t="shared" si="4"/>
        <v>0.190723787108166</v>
      </c>
      <c r="P23">
        <f t="shared" si="5"/>
        <v>0.185972631517165</v>
      </c>
      <c r="Q23">
        <f t="shared" si="6"/>
        <v>0.194737789194367</v>
      </c>
      <c r="R23">
        <f t="shared" si="7"/>
        <v>0.188978979174887</v>
      </c>
      <c r="S23">
        <f t="shared" si="8"/>
        <v>0.00577881671612771</v>
      </c>
    </row>
    <row r="24" spans="3:19">
      <c r="C24">
        <v>40</v>
      </c>
      <c r="D24" s="4">
        <v>4907</v>
      </c>
      <c r="E24" s="4">
        <v>5074</v>
      </c>
      <c r="F24" s="4">
        <v>4747</v>
      </c>
      <c r="G24" s="4">
        <v>4976</v>
      </c>
      <c r="H24" s="4">
        <v>4960</v>
      </c>
      <c r="I24" s="4">
        <v>4974</v>
      </c>
      <c r="J24" s="1">
        <f t="shared" si="0"/>
        <v>4939.66666666667</v>
      </c>
      <c r="K24" s="10">
        <v>7757</v>
      </c>
      <c r="L24">
        <f t="shared" si="1"/>
        <v>0.19887773346327</v>
      </c>
      <c r="M24">
        <f t="shared" si="2"/>
        <v>0.184343328558473</v>
      </c>
      <c r="N24">
        <f t="shared" si="3"/>
        <v>0.213274559725825</v>
      </c>
      <c r="O24">
        <f t="shared" si="4"/>
        <v>0.192813419761423</v>
      </c>
      <c r="P24">
        <f t="shared" si="5"/>
        <v>0.194212114953988</v>
      </c>
      <c r="Q24">
        <f t="shared" si="6"/>
        <v>0.192988010510268</v>
      </c>
      <c r="R24">
        <f t="shared" si="7"/>
        <v>0.196084861162208</v>
      </c>
      <c r="S24">
        <f t="shared" si="8"/>
        <v>0.0096431265826206</v>
      </c>
    </row>
    <row r="25" spans="3:19">
      <c r="C25">
        <v>60</v>
      </c>
      <c r="D25" s="4">
        <v>4737</v>
      </c>
      <c r="E25" s="4">
        <v>4836</v>
      </c>
      <c r="F25" s="4">
        <v>4770</v>
      </c>
      <c r="G25" s="4">
        <v>4843</v>
      </c>
      <c r="H25" s="4">
        <v>4790</v>
      </c>
      <c r="I25" s="4">
        <v>4848</v>
      </c>
      <c r="J25" s="1">
        <f t="shared" si="0"/>
        <v>4804</v>
      </c>
      <c r="K25" s="10">
        <v>7757</v>
      </c>
      <c r="L25">
        <f t="shared" si="1"/>
        <v>0.214190406716229</v>
      </c>
      <c r="M25">
        <f t="shared" si="2"/>
        <v>0.205207499255451</v>
      </c>
      <c r="N25">
        <f t="shared" si="3"/>
        <v>0.211175412404071</v>
      </c>
      <c r="O25">
        <f t="shared" si="4"/>
        <v>0.204579322397646</v>
      </c>
      <c r="P25">
        <f t="shared" si="5"/>
        <v>0.209358278029622</v>
      </c>
      <c r="Q25">
        <f t="shared" si="6"/>
        <v>0.204131180285956</v>
      </c>
      <c r="R25">
        <f t="shared" si="7"/>
        <v>0.208107016514829</v>
      </c>
      <c r="S25">
        <f t="shared" si="8"/>
        <v>0.00411454602343122</v>
      </c>
    </row>
    <row r="26" spans="3:19">
      <c r="C26">
        <v>80</v>
      </c>
      <c r="D26" s="5">
        <v>4752</v>
      </c>
      <c r="E26" s="5">
        <v>4804</v>
      </c>
      <c r="F26" s="5">
        <v>4845</v>
      </c>
      <c r="G26" s="5">
        <v>4762</v>
      </c>
      <c r="H26" s="5">
        <v>4790</v>
      </c>
      <c r="I26" s="5">
        <v>4690</v>
      </c>
      <c r="J26" s="1">
        <f t="shared" si="0"/>
        <v>4773.83333333333</v>
      </c>
      <c r="K26" s="10">
        <v>7757</v>
      </c>
      <c r="L26">
        <f t="shared" si="1"/>
        <v>0.212817359471048</v>
      </c>
      <c r="M26">
        <f t="shared" si="2"/>
        <v>0.208090792713317</v>
      </c>
      <c r="N26">
        <f t="shared" si="3"/>
        <v>0.204400010057401</v>
      </c>
      <c r="O26">
        <f t="shared" si="4"/>
        <v>0.211904400375324</v>
      </c>
      <c r="P26">
        <f t="shared" si="5"/>
        <v>0.209358278029622</v>
      </c>
      <c r="Q26">
        <f t="shared" si="6"/>
        <v>0.218520948729102</v>
      </c>
      <c r="R26">
        <f t="shared" si="7"/>
        <v>0.210848631562636</v>
      </c>
      <c r="S26">
        <f t="shared" si="8"/>
        <v>0.00480138596982192</v>
      </c>
    </row>
    <row r="27" spans="3:19">
      <c r="C27">
        <v>100</v>
      </c>
      <c r="D27" s="4">
        <v>4777</v>
      </c>
      <c r="E27" s="4">
        <v>4740</v>
      </c>
      <c r="F27" s="4">
        <v>4933</v>
      </c>
      <c r="G27" s="4">
        <v>4759</v>
      </c>
      <c r="H27" s="4">
        <v>4731</v>
      </c>
      <c r="I27" s="4">
        <v>4683</v>
      </c>
      <c r="J27" s="1">
        <f t="shared" si="0"/>
        <v>4770.5</v>
      </c>
      <c r="K27" s="10">
        <v>7757</v>
      </c>
      <c r="L27">
        <f t="shared" si="1"/>
        <v>0.210538550160832</v>
      </c>
      <c r="M27">
        <f t="shared" si="2"/>
        <v>0.2139154497701</v>
      </c>
      <c r="N27">
        <f t="shared" si="3"/>
        <v>0.196582675982044</v>
      </c>
      <c r="O27">
        <f t="shared" si="4"/>
        <v>0.212178086645428</v>
      </c>
      <c r="P27">
        <f t="shared" si="5"/>
        <v>0.21474084339562</v>
      </c>
      <c r="Q27">
        <f t="shared" si="6"/>
        <v>0.219169633662105</v>
      </c>
      <c r="R27">
        <f t="shared" si="7"/>
        <v>0.211187539936021</v>
      </c>
      <c r="S27">
        <f t="shared" si="8"/>
        <v>0.00772639242359398</v>
      </c>
    </row>
    <row r="28" spans="2:19">
      <c r="B28" s="6" t="s">
        <v>25</v>
      </c>
      <c r="C28">
        <v>120</v>
      </c>
      <c r="D28" s="4">
        <v>4901</v>
      </c>
      <c r="E28" s="4">
        <v>4684</v>
      </c>
      <c r="F28" s="4">
        <v>4651</v>
      </c>
      <c r="G28" s="4">
        <v>4689</v>
      </c>
      <c r="H28" s="4">
        <v>4832</v>
      </c>
      <c r="I28" s="4">
        <v>4990</v>
      </c>
      <c r="J28" s="11">
        <f t="shared" si="0"/>
        <v>4791.16666666667</v>
      </c>
      <c r="K28" s="10">
        <v>7757</v>
      </c>
      <c r="L28">
        <f t="shared" si="1"/>
        <v>0.199409088931556</v>
      </c>
      <c r="M28">
        <f t="shared" si="2"/>
        <v>0.21907690504386</v>
      </c>
      <c r="N28">
        <f t="shared" si="3"/>
        <v>0.222147451932669</v>
      </c>
      <c r="O28">
        <f t="shared" si="4"/>
        <v>0.218613558705336</v>
      </c>
      <c r="P28">
        <f t="shared" si="5"/>
        <v>0.20556686583111</v>
      </c>
      <c r="Q28">
        <f t="shared" si="6"/>
        <v>0.191593245820795</v>
      </c>
      <c r="R28">
        <f t="shared" si="7"/>
        <v>0.209401186044221</v>
      </c>
      <c r="S28">
        <f t="shared" si="8"/>
        <v>0.0124307794889375</v>
      </c>
    </row>
    <row r="29" spans="3:19">
      <c r="C29">
        <v>140</v>
      </c>
      <c r="D29" s="4">
        <v>4663</v>
      </c>
      <c r="E29" s="4">
        <v>4669</v>
      </c>
      <c r="F29" s="4">
        <v>4470</v>
      </c>
      <c r="G29" s="4">
        <v>4704</v>
      </c>
      <c r="H29" s="4">
        <v>4604</v>
      </c>
      <c r="I29" s="4">
        <v>4640</v>
      </c>
      <c r="J29" s="1">
        <f t="shared" si="0"/>
        <v>4625</v>
      </c>
      <c r="K29" s="10">
        <v>7757</v>
      </c>
      <c r="L29">
        <f t="shared" si="1"/>
        <v>0.221028375989693</v>
      </c>
      <c r="M29">
        <f t="shared" si="2"/>
        <v>0.22046991751338</v>
      </c>
      <c r="N29">
        <f t="shared" si="3"/>
        <v>0.239386268312249</v>
      </c>
      <c r="O29">
        <f t="shared" si="4"/>
        <v>0.217226478376103</v>
      </c>
      <c r="P29">
        <f t="shared" si="5"/>
        <v>0.226558476486431</v>
      </c>
      <c r="Q29">
        <f t="shared" si="6"/>
        <v>0.223175810889304</v>
      </c>
      <c r="R29">
        <f t="shared" si="7"/>
        <v>0.22464088792786</v>
      </c>
      <c r="S29">
        <f t="shared" si="8"/>
        <v>0.00785710563747535</v>
      </c>
    </row>
    <row r="30" spans="3:19">
      <c r="C30">
        <v>160</v>
      </c>
      <c r="D30" s="4">
        <v>4421</v>
      </c>
      <c r="E30" s="4">
        <v>4546</v>
      </c>
      <c r="F30" s="4">
        <v>4504</v>
      </c>
      <c r="G30" s="4">
        <v>4581</v>
      </c>
      <c r="H30" s="4">
        <v>4441</v>
      </c>
      <c r="I30" s="4">
        <v>4529</v>
      </c>
      <c r="J30" s="1">
        <f t="shared" si="0"/>
        <v>4503.66666666667</v>
      </c>
      <c r="K30" s="10">
        <v>7757</v>
      </c>
      <c r="L30">
        <f t="shared" si="1"/>
        <v>0.244173276538311</v>
      </c>
      <c r="M30">
        <f t="shared" si="2"/>
        <v>0.232064360055233</v>
      </c>
      <c r="N30">
        <f t="shared" si="3"/>
        <v>0.236095409600895</v>
      </c>
      <c r="O30">
        <f t="shared" si="4"/>
        <v>0.228733499668102</v>
      </c>
      <c r="P30">
        <f t="shared" si="5"/>
        <v>0.242213018270509</v>
      </c>
      <c r="Q30">
        <f t="shared" si="6"/>
        <v>0.233691470761228</v>
      </c>
      <c r="R30">
        <f t="shared" si="7"/>
        <v>0.236161839149047</v>
      </c>
      <c r="S30">
        <f t="shared" si="8"/>
        <v>0.00598124724496384</v>
      </c>
    </row>
    <row r="31" spans="3:19">
      <c r="C31">
        <v>180</v>
      </c>
      <c r="D31" s="4">
        <v>4436</v>
      </c>
      <c r="E31" s="4">
        <v>4620</v>
      </c>
      <c r="F31" s="4">
        <v>4360</v>
      </c>
      <c r="G31" s="4">
        <v>4370</v>
      </c>
      <c r="H31" s="4">
        <v>4562</v>
      </c>
      <c r="I31" s="4">
        <v>4538</v>
      </c>
      <c r="J31" s="1">
        <f t="shared" si="0"/>
        <v>4481</v>
      </c>
      <c r="K31" s="10">
        <v>7757</v>
      </c>
      <c r="L31">
        <f t="shared" si="1"/>
        <v>0.242702253967063</v>
      </c>
      <c r="M31">
        <f t="shared" si="2"/>
        <v>0.22505181588806</v>
      </c>
      <c r="N31">
        <f t="shared" si="3"/>
        <v>0.250207302175599</v>
      </c>
      <c r="O31">
        <f t="shared" si="4"/>
        <v>0.249212354473763</v>
      </c>
      <c r="P31">
        <f t="shared" si="5"/>
        <v>0.230538510503556</v>
      </c>
      <c r="Q31">
        <f t="shared" si="6"/>
        <v>0.232829299895268</v>
      </c>
      <c r="R31">
        <f t="shared" si="7"/>
        <v>0.238423589483885</v>
      </c>
      <c r="S31">
        <f t="shared" si="8"/>
        <v>0.0104483030219519</v>
      </c>
    </row>
    <row r="32" spans="3:19">
      <c r="C32">
        <v>200</v>
      </c>
      <c r="D32" s="4">
        <v>4560</v>
      </c>
      <c r="E32" s="4">
        <v>4323</v>
      </c>
      <c r="F32" s="4">
        <v>4440</v>
      </c>
      <c r="G32" s="4">
        <v>4424</v>
      </c>
      <c r="H32" s="4">
        <v>4437</v>
      </c>
      <c r="I32" s="4">
        <v>4317</v>
      </c>
      <c r="J32" s="1">
        <f t="shared" si="0"/>
        <v>4416.83333333333</v>
      </c>
      <c r="K32" s="10">
        <v>7757</v>
      </c>
      <c r="L32">
        <f t="shared" si="1"/>
        <v>0.23072894877975</v>
      </c>
      <c r="M32">
        <f t="shared" si="2"/>
        <v>0.253908555910534</v>
      </c>
      <c r="N32">
        <f t="shared" si="3"/>
        <v>0.242310821329565</v>
      </c>
      <c r="O32">
        <f t="shared" si="4"/>
        <v>0.243878673147543</v>
      </c>
      <c r="P32">
        <f t="shared" si="5"/>
        <v>0.24260436272763</v>
      </c>
      <c r="Q32">
        <f t="shared" si="6"/>
        <v>0.254511742787918</v>
      </c>
      <c r="R32">
        <f t="shared" si="7"/>
        <v>0.244657184113824</v>
      </c>
      <c r="S32">
        <f t="shared" si="8"/>
        <v>0.00879797157971124</v>
      </c>
    </row>
    <row r="33" spans="3:19">
      <c r="C33">
        <v>250</v>
      </c>
      <c r="D33" s="4">
        <v>4507</v>
      </c>
      <c r="E33" s="4">
        <v>4531</v>
      </c>
      <c r="F33" s="4">
        <v>4777</v>
      </c>
      <c r="G33" s="4">
        <v>4444</v>
      </c>
      <c r="H33" s="4">
        <v>4424</v>
      </c>
      <c r="I33" s="4">
        <v>4436</v>
      </c>
      <c r="J33" s="11">
        <f t="shared" si="0"/>
        <v>4519.83333333333</v>
      </c>
      <c r="K33" s="10">
        <v>7757</v>
      </c>
      <c r="L33">
        <f t="shared" si="1"/>
        <v>0.235806233373208</v>
      </c>
      <c r="M33">
        <f t="shared" si="2"/>
        <v>0.233499729264999</v>
      </c>
      <c r="N33">
        <f t="shared" si="3"/>
        <v>0.210538550160832</v>
      </c>
      <c r="O33">
        <f t="shared" si="4"/>
        <v>0.241919741175355</v>
      </c>
      <c r="P33">
        <f t="shared" si="5"/>
        <v>0.243878673147543</v>
      </c>
      <c r="Q33">
        <f t="shared" si="6"/>
        <v>0.242702253967063</v>
      </c>
      <c r="R33">
        <f t="shared" si="7"/>
        <v>0.234724196848167</v>
      </c>
      <c r="S33">
        <f t="shared" si="8"/>
        <v>0.0125446826939633</v>
      </c>
    </row>
    <row r="34" spans="3:19">
      <c r="C34">
        <v>300</v>
      </c>
      <c r="D34" s="4">
        <v>4316</v>
      </c>
      <c r="E34" s="4">
        <v>4317</v>
      </c>
      <c r="F34" s="4">
        <v>4269</v>
      </c>
      <c r="G34" s="4">
        <v>4292</v>
      </c>
      <c r="H34" s="4">
        <v>4382</v>
      </c>
      <c r="I34" s="4">
        <v>4379</v>
      </c>
      <c r="J34" s="1">
        <f t="shared" si="0"/>
        <v>4325.83333333333</v>
      </c>
      <c r="K34" s="10">
        <v>7757</v>
      </c>
      <c r="L34">
        <f t="shared" si="1"/>
        <v>0.254612355433312</v>
      </c>
      <c r="M34">
        <f t="shared" si="2"/>
        <v>0.254511742787918</v>
      </c>
      <c r="N34">
        <f t="shared" si="3"/>
        <v>0.259367636640239</v>
      </c>
      <c r="O34">
        <f t="shared" si="4"/>
        <v>0.257034078150272</v>
      </c>
      <c r="P34">
        <f t="shared" si="5"/>
        <v>0.248021418219499</v>
      </c>
      <c r="Q34">
        <f t="shared" si="6"/>
        <v>0.24831884625206</v>
      </c>
      <c r="R34">
        <f t="shared" si="7"/>
        <v>0.253644346247216</v>
      </c>
      <c r="S34">
        <f t="shared" si="8"/>
        <v>0.00460247810736657</v>
      </c>
    </row>
    <row r="35" spans="3:19">
      <c r="C35">
        <v>350</v>
      </c>
      <c r="D35" s="4">
        <v>4261</v>
      </c>
      <c r="E35" s="4">
        <v>4252</v>
      </c>
      <c r="F35" s="4">
        <v>4368</v>
      </c>
      <c r="G35" s="4">
        <v>4287</v>
      </c>
      <c r="H35" s="4">
        <v>4286</v>
      </c>
      <c r="I35" s="4">
        <v>4468</v>
      </c>
      <c r="J35" s="1">
        <f t="shared" si="0"/>
        <v>4320.33333333333</v>
      </c>
      <c r="K35" s="10">
        <v>7757</v>
      </c>
      <c r="L35">
        <f t="shared" si="1"/>
        <v>0.260182257243732</v>
      </c>
      <c r="M35">
        <f t="shared" si="2"/>
        <v>0.261100535592926</v>
      </c>
      <c r="N35">
        <f t="shared" si="3"/>
        <v>0.249411161747504</v>
      </c>
      <c r="O35">
        <f t="shared" si="4"/>
        <v>0.257540307933553</v>
      </c>
      <c r="P35">
        <f t="shared" si="5"/>
        <v>0.257641624738375</v>
      </c>
      <c r="Q35">
        <f t="shared" si="6"/>
        <v>0.239580627000614</v>
      </c>
      <c r="R35">
        <f t="shared" si="7"/>
        <v>0.254242752376117</v>
      </c>
      <c r="S35">
        <f t="shared" si="8"/>
        <v>0.00828317938040631</v>
      </c>
    </row>
    <row r="36" spans="3:19">
      <c r="C36">
        <v>400</v>
      </c>
      <c r="D36" s="4">
        <v>4267</v>
      </c>
      <c r="E36" s="4">
        <v>4257</v>
      </c>
      <c r="F36" s="4">
        <v>4284</v>
      </c>
      <c r="G36" s="4">
        <v>4270</v>
      </c>
      <c r="H36" s="4">
        <v>4258</v>
      </c>
      <c r="I36" s="4">
        <v>4473</v>
      </c>
      <c r="J36" s="1">
        <f t="shared" si="0"/>
        <v>4301.5</v>
      </c>
      <c r="K36" s="10">
        <v>7757</v>
      </c>
      <c r="L36">
        <f t="shared" si="1"/>
        <v>0.259571148584873</v>
      </c>
      <c r="M36">
        <f t="shared" si="2"/>
        <v>0.260590141267049</v>
      </c>
      <c r="N36">
        <f t="shared" si="3"/>
        <v>0.257844329284367</v>
      </c>
      <c r="O36">
        <f t="shared" si="4"/>
        <v>0.259265916419161</v>
      </c>
      <c r="P36">
        <f t="shared" si="5"/>
        <v>0.260488134341882</v>
      </c>
      <c r="Q36">
        <f t="shared" si="6"/>
        <v>0.239094893271528</v>
      </c>
      <c r="R36">
        <f t="shared" si="7"/>
        <v>0.25614242719481</v>
      </c>
      <c r="S36">
        <f t="shared" si="8"/>
        <v>0.00841064242456776</v>
      </c>
    </row>
    <row r="37" spans="3:19">
      <c r="C37">
        <v>450</v>
      </c>
      <c r="D37" s="4">
        <v>4270</v>
      </c>
      <c r="E37" s="4">
        <v>4278</v>
      </c>
      <c r="F37" s="4">
        <v>4198</v>
      </c>
      <c r="G37" s="4">
        <v>4275</v>
      </c>
      <c r="H37" s="4">
        <v>4222</v>
      </c>
      <c r="I37" s="4">
        <v>4243</v>
      </c>
      <c r="J37" s="1">
        <f t="shared" si="0"/>
        <v>4247.66666666667</v>
      </c>
      <c r="K37" s="10">
        <v>7757</v>
      </c>
      <c r="L37">
        <f t="shared" si="1"/>
        <v>0.259265916419161</v>
      </c>
      <c r="M37">
        <f t="shared" si="2"/>
        <v>0.258453011208676</v>
      </c>
      <c r="N37">
        <f t="shared" si="3"/>
        <v>0.266651357197804</v>
      </c>
      <c r="O37">
        <f t="shared" si="4"/>
        <v>0.258757672379994</v>
      </c>
      <c r="P37">
        <f t="shared" si="5"/>
        <v>0.264175562472548</v>
      </c>
      <c r="Q37">
        <f t="shared" si="6"/>
        <v>0.262020759677569</v>
      </c>
      <c r="R37">
        <f t="shared" si="7"/>
        <v>0.261554046559292</v>
      </c>
      <c r="S37">
        <f t="shared" si="8"/>
        <v>0.00333899418682627</v>
      </c>
    </row>
    <row r="38" spans="3:19">
      <c r="C38">
        <v>500</v>
      </c>
      <c r="D38" s="4">
        <v>4186</v>
      </c>
      <c r="E38" s="4">
        <v>4141</v>
      </c>
      <c r="F38" s="4">
        <v>4151</v>
      </c>
      <c r="G38" s="4">
        <v>4171</v>
      </c>
      <c r="H38" s="4">
        <v>4421</v>
      </c>
      <c r="I38" s="4">
        <v>4360</v>
      </c>
      <c r="J38" s="1">
        <f t="shared" si="0"/>
        <v>4238.33333333333</v>
      </c>
      <c r="K38" s="10">
        <v>7757</v>
      </c>
      <c r="L38">
        <f t="shared" si="1"/>
        <v>0.267894567441518</v>
      </c>
      <c r="M38">
        <f t="shared" si="2"/>
        <v>0.272588560941807</v>
      </c>
      <c r="N38">
        <f t="shared" si="3"/>
        <v>0.271541058065666</v>
      </c>
      <c r="O38">
        <f t="shared" si="4"/>
        <v>0.269453601598354</v>
      </c>
      <c r="P38">
        <f t="shared" si="5"/>
        <v>0.244173276538311</v>
      </c>
      <c r="Q38">
        <f t="shared" si="6"/>
        <v>0.250207302175599</v>
      </c>
      <c r="R38">
        <f t="shared" si="7"/>
        <v>0.262643061126876</v>
      </c>
      <c r="S38">
        <f t="shared" si="8"/>
        <v>0.0122297190451794</v>
      </c>
    </row>
    <row r="39" spans="10:10">
      <c r="J39" s="1"/>
    </row>
    <row r="40" spans="10:10">
      <c r="J40" s="1"/>
    </row>
    <row r="41" spans="3:19">
      <c r="C41" t="s">
        <v>0</v>
      </c>
      <c r="D41">
        <v>13074</v>
      </c>
      <c r="E41">
        <v>13470</v>
      </c>
      <c r="F41">
        <v>13131</v>
      </c>
      <c r="G41">
        <v>13129</v>
      </c>
      <c r="H41">
        <v>13317</v>
      </c>
      <c r="I41">
        <v>13415</v>
      </c>
      <c r="J41" s="1">
        <f t="shared" si="0"/>
        <v>13256</v>
      </c>
      <c r="K41" s="9">
        <v>187767</v>
      </c>
      <c r="L41">
        <f t="shared" si="1"/>
        <v>1.15721078686768</v>
      </c>
      <c r="M41">
        <f t="shared" si="2"/>
        <v>1.14425167177459</v>
      </c>
      <c r="N41">
        <f t="shared" si="3"/>
        <v>1.1553214661648</v>
      </c>
      <c r="O41">
        <f t="shared" si="4"/>
        <v>1.15538761917055</v>
      </c>
      <c r="P41">
        <f t="shared" si="5"/>
        <v>1.14921286775255</v>
      </c>
      <c r="Q41">
        <f t="shared" si="6"/>
        <v>1.14602859048962</v>
      </c>
      <c r="R41">
        <f t="shared" si="7"/>
        <v>1.15123550036996</v>
      </c>
      <c r="S41">
        <f t="shared" si="8"/>
        <v>0.00547021152785014</v>
      </c>
    </row>
    <row r="42" spans="3:19">
      <c r="C42">
        <v>20</v>
      </c>
      <c r="D42">
        <v>12541</v>
      </c>
      <c r="E42">
        <v>12318</v>
      </c>
      <c r="F42">
        <v>12359</v>
      </c>
      <c r="G42">
        <v>12258</v>
      </c>
      <c r="H42">
        <v>12355</v>
      </c>
      <c r="I42">
        <v>12177</v>
      </c>
      <c r="J42" s="1">
        <f t="shared" si="0"/>
        <v>12334.6666666667</v>
      </c>
      <c r="K42" s="9">
        <v>187767</v>
      </c>
      <c r="L42">
        <f t="shared" si="1"/>
        <v>1.17528709964989</v>
      </c>
      <c r="M42">
        <f t="shared" si="2"/>
        <v>1.18307906774334</v>
      </c>
      <c r="N42">
        <f t="shared" si="3"/>
        <v>1.18163593526026</v>
      </c>
      <c r="O42">
        <f t="shared" si="4"/>
        <v>1.18519965048148</v>
      </c>
      <c r="P42">
        <f t="shared" si="5"/>
        <v>1.18177651775948</v>
      </c>
      <c r="Q42">
        <f t="shared" si="6"/>
        <v>1.18807896146063</v>
      </c>
      <c r="R42">
        <f t="shared" si="7"/>
        <v>1.18250953872585</v>
      </c>
      <c r="S42">
        <f t="shared" si="8"/>
        <v>0.00429053989880973</v>
      </c>
    </row>
    <row r="43" spans="3:19">
      <c r="C43">
        <v>40</v>
      </c>
      <c r="D43">
        <v>11759</v>
      </c>
      <c r="E43">
        <v>12127</v>
      </c>
      <c r="F43">
        <v>11420</v>
      </c>
      <c r="G43">
        <v>12065</v>
      </c>
      <c r="H43">
        <v>12000</v>
      </c>
      <c r="I43">
        <v>11983</v>
      </c>
      <c r="J43" s="1">
        <f t="shared" si="0"/>
        <v>11892.3333333333</v>
      </c>
      <c r="K43" s="9">
        <v>187767</v>
      </c>
      <c r="L43">
        <f t="shared" si="1"/>
        <v>1.20324887713057</v>
      </c>
      <c r="M43">
        <f t="shared" si="2"/>
        <v>1.18986588992756</v>
      </c>
      <c r="N43">
        <f t="shared" si="3"/>
        <v>1.21595316358775</v>
      </c>
      <c r="O43">
        <f t="shared" si="4"/>
        <v>1.19209194125277</v>
      </c>
      <c r="P43">
        <f t="shared" si="5"/>
        <v>1.19443802144995</v>
      </c>
      <c r="Q43">
        <f t="shared" si="6"/>
        <v>1.19505370818046</v>
      </c>
      <c r="R43">
        <f t="shared" si="7"/>
        <v>1.19844193358818</v>
      </c>
      <c r="S43">
        <f t="shared" si="8"/>
        <v>0.00970703037669287</v>
      </c>
    </row>
    <row r="44" spans="3:19">
      <c r="C44">
        <v>60</v>
      </c>
      <c r="D44">
        <v>11166</v>
      </c>
      <c r="E44">
        <v>11538</v>
      </c>
      <c r="F44">
        <v>11414</v>
      </c>
      <c r="G44">
        <v>11363</v>
      </c>
      <c r="H44">
        <v>11302</v>
      </c>
      <c r="I44">
        <v>11340</v>
      </c>
      <c r="J44" s="1">
        <f t="shared" si="0"/>
        <v>11353.8333333333</v>
      </c>
      <c r="K44" s="9">
        <v>187767</v>
      </c>
      <c r="L44">
        <f t="shared" si="1"/>
        <v>1.22572164398316</v>
      </c>
      <c r="M44">
        <f t="shared" si="2"/>
        <v>1.21148873287545</v>
      </c>
      <c r="N44">
        <f t="shared" si="3"/>
        <v>1.21618139928464</v>
      </c>
      <c r="O44">
        <f t="shared" si="4"/>
        <v>1.21812626081973</v>
      </c>
      <c r="P44">
        <f t="shared" si="5"/>
        <v>1.22046396453569</v>
      </c>
      <c r="Q44">
        <f t="shared" si="6"/>
        <v>1.21900621294069</v>
      </c>
      <c r="R44">
        <f t="shared" si="7"/>
        <v>1.21849803573989</v>
      </c>
      <c r="S44">
        <f t="shared" si="8"/>
        <v>0.0047103924221319</v>
      </c>
    </row>
    <row r="45" spans="3:19">
      <c r="C45">
        <v>80</v>
      </c>
      <c r="D45">
        <v>11413</v>
      </c>
      <c r="E45">
        <v>11453</v>
      </c>
      <c r="F45">
        <v>11544</v>
      </c>
      <c r="G45">
        <v>11361</v>
      </c>
      <c r="H45">
        <v>11419</v>
      </c>
      <c r="I45">
        <v>11215</v>
      </c>
      <c r="J45" s="1">
        <f t="shared" si="0"/>
        <v>11400.8333333333</v>
      </c>
      <c r="K45" s="9">
        <v>187767</v>
      </c>
      <c r="L45">
        <f t="shared" si="1"/>
        <v>1.21621945023151</v>
      </c>
      <c r="M45">
        <f t="shared" si="2"/>
        <v>1.21470000677869</v>
      </c>
      <c r="N45">
        <f t="shared" si="3"/>
        <v>1.21126294941214</v>
      </c>
      <c r="O45">
        <f t="shared" si="4"/>
        <v>1.21820270765709</v>
      </c>
      <c r="P45">
        <f t="shared" si="5"/>
        <v>1.21599119454201</v>
      </c>
      <c r="Q45">
        <f t="shared" si="6"/>
        <v>1.22381998957859</v>
      </c>
      <c r="R45">
        <f t="shared" si="7"/>
        <v>1.21669938303334</v>
      </c>
      <c r="S45">
        <f t="shared" si="8"/>
        <v>0.00417725280191479</v>
      </c>
    </row>
    <row r="46" spans="3:19">
      <c r="C46">
        <v>100</v>
      </c>
      <c r="D46">
        <v>11389</v>
      </c>
      <c r="E46">
        <v>11301</v>
      </c>
      <c r="F46">
        <v>11834</v>
      </c>
      <c r="G46">
        <v>11372</v>
      </c>
      <c r="H46">
        <v>11256</v>
      </c>
      <c r="I46">
        <v>11209</v>
      </c>
      <c r="J46" s="1">
        <f t="shared" si="0"/>
        <v>11393.5</v>
      </c>
      <c r="K46" s="9">
        <v>187767</v>
      </c>
      <c r="L46">
        <f t="shared" si="1"/>
        <v>1.21713367454646</v>
      </c>
      <c r="M46">
        <f t="shared" si="2"/>
        <v>1.22050239257464</v>
      </c>
      <c r="N46">
        <f t="shared" si="3"/>
        <v>1.20048770255658</v>
      </c>
      <c r="O46">
        <f t="shared" si="4"/>
        <v>1.21778241647917</v>
      </c>
      <c r="P46">
        <f t="shared" si="5"/>
        <v>1.22223518307089</v>
      </c>
      <c r="Q46">
        <f t="shared" si="6"/>
        <v>1.22405239833292</v>
      </c>
      <c r="R46">
        <f t="shared" si="7"/>
        <v>1.21703229459344</v>
      </c>
      <c r="S46">
        <f t="shared" si="8"/>
        <v>0.00851692399197505</v>
      </c>
    </row>
    <row r="47" spans="3:19">
      <c r="C47">
        <v>120</v>
      </c>
      <c r="D47">
        <v>11233</v>
      </c>
      <c r="E47">
        <v>10870</v>
      </c>
      <c r="F47">
        <v>10851</v>
      </c>
      <c r="G47">
        <v>10912</v>
      </c>
      <c r="H47">
        <v>11078</v>
      </c>
      <c r="I47">
        <v>11315</v>
      </c>
      <c r="J47" s="1">
        <f t="shared" si="0"/>
        <v>11043.1666666667</v>
      </c>
      <c r="K47" s="9">
        <v>187767</v>
      </c>
      <c r="L47">
        <f t="shared" si="1"/>
        <v>1.22312350861372</v>
      </c>
      <c r="M47">
        <f t="shared" si="2"/>
        <v>1.23738972341128</v>
      </c>
      <c r="N47">
        <f t="shared" si="3"/>
        <v>1.23814950401629</v>
      </c>
      <c r="O47">
        <f t="shared" si="4"/>
        <v>1.23571491018517</v>
      </c>
      <c r="P47">
        <f t="shared" si="5"/>
        <v>1.22915790668691</v>
      </c>
      <c r="Q47">
        <f t="shared" si="6"/>
        <v>1.21996470920683</v>
      </c>
      <c r="R47">
        <f t="shared" si="7"/>
        <v>1.23058337702003</v>
      </c>
      <c r="S47">
        <f t="shared" si="8"/>
        <v>0.00775039315110423</v>
      </c>
    </row>
    <row r="48" spans="3:19">
      <c r="C48">
        <v>140</v>
      </c>
      <c r="D48">
        <v>10792</v>
      </c>
      <c r="E48">
        <v>10657</v>
      </c>
      <c r="F48">
        <v>10368</v>
      </c>
      <c r="G48">
        <v>10767</v>
      </c>
      <c r="H48">
        <v>10620</v>
      </c>
      <c r="I48">
        <v>10740</v>
      </c>
      <c r="J48" s="1">
        <f t="shared" si="0"/>
        <v>10657.3333333333</v>
      </c>
      <c r="K48" s="9">
        <v>187767</v>
      </c>
      <c r="L48">
        <f t="shared" si="1"/>
        <v>1.24051733083373</v>
      </c>
      <c r="M48">
        <f t="shared" si="2"/>
        <v>1.24598430172003</v>
      </c>
      <c r="N48">
        <f t="shared" si="3"/>
        <v>1.25792427897106</v>
      </c>
      <c r="O48">
        <f t="shared" si="4"/>
        <v>1.24152455444467</v>
      </c>
      <c r="P48">
        <f t="shared" si="5"/>
        <v>1.24749475075212</v>
      </c>
      <c r="Q48">
        <f t="shared" si="6"/>
        <v>1.24261498613404</v>
      </c>
      <c r="R48">
        <f t="shared" si="7"/>
        <v>1.24601003380927</v>
      </c>
      <c r="S48">
        <f t="shared" si="8"/>
        <v>0.00641825434430329</v>
      </c>
    </row>
    <row r="49" spans="2:19">
      <c r="B49" s="7" t="s">
        <v>26</v>
      </c>
      <c r="C49">
        <v>160</v>
      </c>
      <c r="D49">
        <v>10200</v>
      </c>
      <c r="E49">
        <v>10442</v>
      </c>
      <c r="F49">
        <v>10448</v>
      </c>
      <c r="G49">
        <v>10779</v>
      </c>
      <c r="H49">
        <v>10305</v>
      </c>
      <c r="I49">
        <v>10342</v>
      </c>
      <c r="J49" s="1">
        <f t="shared" si="0"/>
        <v>10419.3333333333</v>
      </c>
      <c r="K49" s="9">
        <v>187767</v>
      </c>
      <c r="L49">
        <f t="shared" si="1"/>
        <v>1.26501909573566</v>
      </c>
      <c r="M49">
        <f t="shared" si="2"/>
        <v>1.25483557862288</v>
      </c>
      <c r="N49">
        <f t="shared" si="3"/>
        <v>1.25458610356658</v>
      </c>
      <c r="O49">
        <f t="shared" si="4"/>
        <v>1.24104079557326</v>
      </c>
      <c r="P49">
        <f t="shared" si="5"/>
        <v>1.26057127138234</v>
      </c>
      <c r="Q49">
        <f t="shared" si="6"/>
        <v>1.25901473406152</v>
      </c>
      <c r="R49">
        <f t="shared" si="7"/>
        <v>1.25584459649037</v>
      </c>
      <c r="S49">
        <f t="shared" si="8"/>
        <v>0.00822577786286165</v>
      </c>
    </row>
    <row r="50" spans="3:19">
      <c r="C50">
        <v>180</v>
      </c>
      <c r="D50">
        <v>10324</v>
      </c>
      <c r="E50">
        <v>10581</v>
      </c>
      <c r="F50">
        <v>10229</v>
      </c>
      <c r="G50">
        <v>10222</v>
      </c>
      <c r="H50">
        <v>10516</v>
      </c>
      <c r="I50">
        <v>10348</v>
      </c>
      <c r="J50" s="1">
        <f t="shared" si="0"/>
        <v>10370</v>
      </c>
      <c r="K50" s="9">
        <v>187767</v>
      </c>
      <c r="L50">
        <f t="shared" si="1"/>
        <v>1.25977127162574</v>
      </c>
      <c r="M50">
        <f t="shared" si="2"/>
        <v>1.24909255311042</v>
      </c>
      <c r="N50">
        <f t="shared" si="3"/>
        <v>1.26378608888901</v>
      </c>
      <c r="O50">
        <f t="shared" si="4"/>
        <v>1.26408339087836</v>
      </c>
      <c r="P50">
        <f t="shared" si="5"/>
        <v>1.25176869006325</v>
      </c>
      <c r="Q50">
        <f t="shared" si="6"/>
        <v>1.25876284745307</v>
      </c>
      <c r="R50">
        <f t="shared" si="7"/>
        <v>1.25787747366998</v>
      </c>
      <c r="S50">
        <f t="shared" si="8"/>
        <v>0.00620141219446707</v>
      </c>
    </row>
    <row r="51" spans="3:19">
      <c r="C51">
        <v>200</v>
      </c>
      <c r="D51">
        <v>10575</v>
      </c>
      <c r="E51">
        <v>10231</v>
      </c>
      <c r="F51">
        <v>10449</v>
      </c>
      <c r="G51">
        <v>10355</v>
      </c>
      <c r="H51">
        <v>10456</v>
      </c>
      <c r="I51">
        <v>10121</v>
      </c>
      <c r="J51" s="1">
        <f t="shared" si="0"/>
        <v>10364.5</v>
      </c>
      <c r="K51" s="9">
        <v>187767</v>
      </c>
      <c r="L51">
        <f t="shared" si="1"/>
        <v>1.24933889145049</v>
      </c>
      <c r="M51">
        <f t="shared" si="2"/>
        <v>1.26370118283167</v>
      </c>
      <c r="N51">
        <f t="shared" si="3"/>
        <v>1.25454453831968</v>
      </c>
      <c r="O51">
        <f t="shared" si="4"/>
        <v>1.2584691642681</v>
      </c>
      <c r="P51">
        <f t="shared" si="5"/>
        <v>1.25425369292509</v>
      </c>
      <c r="Q51">
        <f t="shared" si="6"/>
        <v>1.26839584263944</v>
      </c>
      <c r="R51">
        <f t="shared" si="7"/>
        <v>1.25811721873908</v>
      </c>
      <c r="S51">
        <f t="shared" si="8"/>
        <v>0.00695276257336469</v>
      </c>
    </row>
    <row r="52" spans="3:19">
      <c r="C52">
        <v>250</v>
      </c>
      <c r="D52">
        <v>10279</v>
      </c>
      <c r="E52">
        <v>10295</v>
      </c>
      <c r="F52">
        <v>11053</v>
      </c>
      <c r="G52">
        <v>10147</v>
      </c>
      <c r="H52">
        <v>10208</v>
      </c>
      <c r="I52">
        <v>10180</v>
      </c>
      <c r="J52" s="1">
        <f t="shared" si="0"/>
        <v>10360.3333333333</v>
      </c>
      <c r="K52" s="9">
        <v>187767</v>
      </c>
      <c r="L52">
        <f t="shared" si="1"/>
        <v>1.26166840143818</v>
      </c>
      <c r="M52">
        <f t="shared" si="2"/>
        <v>1.26099291654352</v>
      </c>
      <c r="N52">
        <f t="shared" si="3"/>
        <v>1.23013909747502</v>
      </c>
      <c r="O52">
        <f t="shared" si="4"/>
        <v>1.26728160712302</v>
      </c>
      <c r="P52">
        <f t="shared" si="5"/>
        <v>1.26467860612049</v>
      </c>
      <c r="Q52">
        <f t="shared" si="6"/>
        <v>1.26587148949683</v>
      </c>
      <c r="R52">
        <f t="shared" si="7"/>
        <v>1.25843868636618</v>
      </c>
      <c r="S52">
        <f t="shared" si="8"/>
        <v>0.0140726848261779</v>
      </c>
    </row>
    <row r="53" spans="3:19">
      <c r="C53">
        <v>300</v>
      </c>
      <c r="D53">
        <v>10088</v>
      </c>
      <c r="E53">
        <v>10103</v>
      </c>
      <c r="F53">
        <v>10078</v>
      </c>
      <c r="G53">
        <v>10227</v>
      </c>
      <c r="H53">
        <v>10284</v>
      </c>
      <c r="I53">
        <v>10098</v>
      </c>
      <c r="J53" s="1">
        <f t="shared" si="0"/>
        <v>10146.3333333333</v>
      </c>
      <c r="K53" s="9">
        <v>187767</v>
      </c>
      <c r="L53">
        <f t="shared" si="1"/>
        <v>1.26981419393255</v>
      </c>
      <c r="M53">
        <f t="shared" si="2"/>
        <v>1.26916891450835</v>
      </c>
      <c r="N53">
        <f t="shared" si="3"/>
        <v>1.27024491347782</v>
      </c>
      <c r="O53">
        <f t="shared" si="4"/>
        <v>1.26387101154902</v>
      </c>
      <c r="P53">
        <f t="shared" si="5"/>
        <v>1.26145719952675</v>
      </c>
      <c r="Q53">
        <f t="shared" si="6"/>
        <v>1.26938390113811</v>
      </c>
      <c r="R53">
        <f t="shared" si="7"/>
        <v>1.26732335568877</v>
      </c>
      <c r="S53">
        <f t="shared" si="8"/>
        <v>0.0037073488682135</v>
      </c>
    </row>
    <row r="54" spans="3:19">
      <c r="C54">
        <v>350</v>
      </c>
      <c r="D54">
        <v>9805</v>
      </c>
      <c r="E54">
        <v>9812</v>
      </c>
      <c r="F54">
        <v>9934</v>
      </c>
      <c r="G54">
        <v>9973</v>
      </c>
      <c r="H54">
        <v>9915</v>
      </c>
      <c r="I54">
        <v>10140</v>
      </c>
      <c r="J54" s="1">
        <f t="shared" si="0"/>
        <v>9929.83333333333</v>
      </c>
      <c r="K54" s="9">
        <v>187767</v>
      </c>
      <c r="L54">
        <f t="shared" si="1"/>
        <v>1.28217166949377</v>
      </c>
      <c r="M54">
        <f t="shared" si="2"/>
        <v>1.28186172796323</v>
      </c>
      <c r="N54">
        <f t="shared" si="3"/>
        <v>1.27649511183837</v>
      </c>
      <c r="O54">
        <f t="shared" si="4"/>
        <v>1.27479344845729</v>
      </c>
      <c r="P54">
        <f t="shared" si="5"/>
        <v>1.27732654895625</v>
      </c>
      <c r="Q54">
        <f t="shared" si="6"/>
        <v>1.26758131250026</v>
      </c>
      <c r="R54">
        <f t="shared" si="7"/>
        <v>1.27670496986819</v>
      </c>
      <c r="S54">
        <f t="shared" si="8"/>
        <v>0.00536287978001037</v>
      </c>
    </row>
    <row r="55" spans="3:19">
      <c r="C55">
        <v>400</v>
      </c>
      <c r="D55">
        <v>9734</v>
      </c>
      <c r="E55">
        <v>9854</v>
      </c>
      <c r="F55">
        <v>9956</v>
      </c>
      <c r="G55">
        <v>9976</v>
      </c>
      <c r="H55">
        <v>9838</v>
      </c>
      <c r="I55">
        <v>10148</v>
      </c>
      <c r="J55" s="1">
        <f t="shared" si="0"/>
        <v>9917.66666666667</v>
      </c>
      <c r="K55" s="9">
        <v>187767</v>
      </c>
      <c r="L55">
        <f t="shared" si="1"/>
        <v>1.28532792559009</v>
      </c>
      <c r="M55">
        <f t="shared" si="2"/>
        <v>1.28000670955868</v>
      </c>
      <c r="N55">
        <f t="shared" si="3"/>
        <v>1.27553437956102</v>
      </c>
      <c r="O55">
        <f t="shared" si="4"/>
        <v>1.27466282702709</v>
      </c>
      <c r="P55">
        <f t="shared" si="5"/>
        <v>1.28071244927426</v>
      </c>
      <c r="Q55">
        <f t="shared" si="6"/>
        <v>1.26723880894788</v>
      </c>
      <c r="R55">
        <f t="shared" si="7"/>
        <v>1.2772471833265</v>
      </c>
      <c r="S55">
        <f t="shared" si="8"/>
        <v>0.00624021795403484</v>
      </c>
    </row>
    <row r="56" spans="3:19">
      <c r="C56">
        <v>450</v>
      </c>
      <c r="D56">
        <v>9899</v>
      </c>
      <c r="E56">
        <v>9925</v>
      </c>
      <c r="F56">
        <v>9790</v>
      </c>
      <c r="G56">
        <v>9807</v>
      </c>
      <c r="H56">
        <v>9604</v>
      </c>
      <c r="I56">
        <v>9725</v>
      </c>
      <c r="J56" s="1">
        <f t="shared" si="0"/>
        <v>9791.66666666667</v>
      </c>
      <c r="K56" s="9">
        <v>187767</v>
      </c>
      <c r="L56">
        <f t="shared" si="1"/>
        <v>1.27802794324522</v>
      </c>
      <c r="M56">
        <f t="shared" si="2"/>
        <v>1.27688875206242</v>
      </c>
      <c r="N56">
        <f t="shared" si="3"/>
        <v>1.28283657569444</v>
      </c>
      <c r="O56">
        <f t="shared" si="4"/>
        <v>1.28208309219754</v>
      </c>
      <c r="P56">
        <f t="shared" si="5"/>
        <v>1.29116711611258</v>
      </c>
      <c r="Q56">
        <f t="shared" si="6"/>
        <v>1.28572965749983</v>
      </c>
      <c r="R56">
        <f t="shared" si="7"/>
        <v>1.28278885613534</v>
      </c>
      <c r="S56">
        <f t="shared" si="8"/>
        <v>0.00523108884310834</v>
      </c>
    </row>
    <row r="57" spans="3:19">
      <c r="C57">
        <v>500</v>
      </c>
      <c r="D57">
        <v>9577</v>
      </c>
      <c r="E57">
        <v>9512</v>
      </c>
      <c r="F57">
        <v>9558</v>
      </c>
      <c r="G57">
        <v>9552</v>
      </c>
      <c r="H57">
        <v>9920</v>
      </c>
      <c r="I57">
        <v>9826</v>
      </c>
      <c r="J57" s="1">
        <f t="shared" si="0"/>
        <v>9657.5</v>
      </c>
      <c r="K57" s="9">
        <v>187767</v>
      </c>
      <c r="L57">
        <f t="shared" si="1"/>
        <v>1.29238978007757</v>
      </c>
      <c r="M57">
        <f t="shared" si="2"/>
        <v>1.29534742588694</v>
      </c>
      <c r="N57">
        <f t="shared" si="3"/>
        <v>1.2932522413128</v>
      </c>
      <c r="O57">
        <f t="shared" si="4"/>
        <v>1.29352495371228</v>
      </c>
      <c r="P57">
        <f t="shared" si="5"/>
        <v>1.2771075953434</v>
      </c>
      <c r="Q57">
        <f t="shared" si="6"/>
        <v>1.28124250769877</v>
      </c>
      <c r="R57">
        <f t="shared" si="7"/>
        <v>1.28881075067196</v>
      </c>
      <c r="S57">
        <f t="shared" si="8"/>
        <v>0.0076384588774978</v>
      </c>
    </row>
    <row r="58" spans="10:10">
      <c r="J58" s="1"/>
    </row>
    <row r="59" spans="10:10">
      <c r="J59" s="1"/>
    </row>
    <row r="60" spans="3:19">
      <c r="C60" t="s">
        <v>0</v>
      </c>
      <c r="D60" s="4">
        <v>14179</v>
      </c>
      <c r="E60" s="4">
        <v>14618</v>
      </c>
      <c r="F60" s="4">
        <v>14217</v>
      </c>
      <c r="G60" s="4">
        <v>14226</v>
      </c>
      <c r="H60" s="4">
        <v>14397</v>
      </c>
      <c r="I60" s="4">
        <v>14594</v>
      </c>
      <c r="J60" s="1">
        <f t="shared" si="0"/>
        <v>14371.8333333333</v>
      </c>
      <c r="K60" s="9">
        <v>18653</v>
      </c>
      <c r="L60">
        <f t="shared" si="1"/>
        <v>0.119103087717121</v>
      </c>
      <c r="M60">
        <f t="shared" si="2"/>
        <v>0.105860732680795</v>
      </c>
      <c r="N60">
        <f t="shared" si="3"/>
        <v>0.117940726809685</v>
      </c>
      <c r="O60">
        <f t="shared" si="4"/>
        <v>0.117665885866917</v>
      </c>
      <c r="P60">
        <f t="shared" si="5"/>
        <v>0.112476685576665</v>
      </c>
      <c r="Q60">
        <f t="shared" si="6"/>
        <v>0.1065743483121</v>
      </c>
      <c r="R60">
        <f t="shared" si="7"/>
        <v>0.113270244493881</v>
      </c>
      <c r="S60">
        <f t="shared" si="8"/>
        <v>0.00592490936555196</v>
      </c>
    </row>
    <row r="61" spans="3:19">
      <c r="C61">
        <v>20</v>
      </c>
      <c r="D61" s="4">
        <v>14333</v>
      </c>
      <c r="E61" s="4">
        <v>13967</v>
      </c>
      <c r="F61" s="4">
        <v>14030</v>
      </c>
      <c r="G61" s="4">
        <v>13975</v>
      </c>
      <c r="H61" s="4">
        <v>14163</v>
      </c>
      <c r="I61" s="4">
        <v>13897</v>
      </c>
      <c r="J61" s="1">
        <f t="shared" si="0"/>
        <v>14060.8333333333</v>
      </c>
      <c r="K61" s="9">
        <v>18653</v>
      </c>
      <c r="L61">
        <f t="shared" si="1"/>
        <v>0.114411589357939</v>
      </c>
      <c r="M61">
        <f t="shared" si="2"/>
        <v>0.125645557082367</v>
      </c>
      <c r="N61">
        <f t="shared" si="3"/>
        <v>0.123691019200389</v>
      </c>
      <c r="O61">
        <f t="shared" si="4"/>
        <v>0.125396873670288</v>
      </c>
      <c r="P61">
        <f t="shared" si="5"/>
        <v>0.119593435077832</v>
      </c>
      <c r="Q61">
        <f t="shared" si="6"/>
        <v>0.127827632713134</v>
      </c>
      <c r="R61">
        <f t="shared" si="7"/>
        <v>0.122761017850325</v>
      </c>
      <c r="S61">
        <f t="shared" si="8"/>
        <v>0.00493052386535234</v>
      </c>
    </row>
    <row r="62" spans="3:19">
      <c r="C62">
        <v>40</v>
      </c>
      <c r="D62" s="4">
        <v>13745</v>
      </c>
      <c r="E62" s="4">
        <v>14128</v>
      </c>
      <c r="F62" s="4">
        <v>13394</v>
      </c>
      <c r="G62" s="4">
        <v>13930</v>
      </c>
      <c r="H62" s="4">
        <v>13856</v>
      </c>
      <c r="I62" s="4">
        <v>13875</v>
      </c>
      <c r="J62" s="1">
        <f t="shared" si="0"/>
        <v>13821.3333333333</v>
      </c>
      <c r="K62" s="9">
        <v>18653</v>
      </c>
      <c r="L62">
        <f t="shared" si="1"/>
        <v>0.132603946049262</v>
      </c>
      <c r="M62">
        <f t="shared" si="2"/>
        <v>0.120668003995256</v>
      </c>
      <c r="N62">
        <f t="shared" si="3"/>
        <v>0.143838395628588</v>
      </c>
      <c r="O62">
        <f t="shared" si="4"/>
        <v>0.126797573804785</v>
      </c>
      <c r="P62">
        <f t="shared" si="5"/>
        <v>0.129110815555477</v>
      </c>
      <c r="Q62">
        <f t="shared" si="6"/>
        <v>0.128515698434035</v>
      </c>
      <c r="R62">
        <f t="shared" si="7"/>
        <v>0.130255738911234</v>
      </c>
      <c r="S62">
        <f t="shared" si="8"/>
        <v>0.00772301492087061</v>
      </c>
    </row>
    <row r="63" spans="3:19">
      <c r="C63">
        <v>60</v>
      </c>
      <c r="D63" s="4">
        <v>13209</v>
      </c>
      <c r="E63" s="4">
        <v>13487</v>
      </c>
      <c r="F63" s="4">
        <v>13349</v>
      </c>
      <c r="G63" s="4">
        <v>13430</v>
      </c>
      <c r="H63" s="4">
        <v>13316</v>
      </c>
      <c r="I63" s="4">
        <v>13390</v>
      </c>
      <c r="J63" s="1">
        <f t="shared" si="0"/>
        <v>13363.5</v>
      </c>
      <c r="K63" s="9">
        <v>18653</v>
      </c>
      <c r="L63">
        <f t="shared" si="1"/>
        <v>0.149878750049561</v>
      </c>
      <c r="M63">
        <f t="shared" si="2"/>
        <v>0.140833332724327</v>
      </c>
      <c r="N63">
        <f t="shared" si="3"/>
        <v>0.145299957168486</v>
      </c>
      <c r="O63">
        <f t="shared" si="4"/>
        <v>0.142672677560034</v>
      </c>
      <c r="P63">
        <f t="shared" si="5"/>
        <v>0.146374903744119</v>
      </c>
      <c r="Q63">
        <f t="shared" si="6"/>
        <v>0.14396811321674</v>
      </c>
      <c r="R63">
        <f t="shared" si="7"/>
        <v>0.144837955743878</v>
      </c>
      <c r="S63">
        <f t="shared" si="8"/>
        <v>0.0031453878256317</v>
      </c>
    </row>
    <row r="64" spans="3:19">
      <c r="C64">
        <v>80</v>
      </c>
      <c r="D64" s="4">
        <v>13454</v>
      </c>
      <c r="E64" s="4">
        <v>13538</v>
      </c>
      <c r="F64" s="4">
        <v>13608</v>
      </c>
      <c r="G64" s="4">
        <v>13385</v>
      </c>
      <c r="H64" s="4">
        <v>13463</v>
      </c>
      <c r="I64" s="4">
        <v>13243</v>
      </c>
      <c r="J64" s="1">
        <f t="shared" si="0"/>
        <v>13448.5</v>
      </c>
      <c r="K64" s="9">
        <v>18653</v>
      </c>
      <c r="L64">
        <f t="shared" si="1"/>
        <v>0.141897266881965</v>
      </c>
      <c r="M64">
        <f t="shared" si="2"/>
        <v>0.139194180467509</v>
      </c>
      <c r="N64">
        <f t="shared" si="3"/>
        <v>0.136954389624236</v>
      </c>
      <c r="O64">
        <f t="shared" si="4"/>
        <v>0.144130314705797</v>
      </c>
      <c r="P64">
        <f t="shared" si="5"/>
        <v>0.141606844436464</v>
      </c>
      <c r="Q64">
        <f t="shared" si="6"/>
        <v>0.148762311177911</v>
      </c>
      <c r="R64">
        <f t="shared" si="7"/>
        <v>0.14209088454898</v>
      </c>
      <c r="S64">
        <f t="shared" si="8"/>
        <v>0.00409178361863801</v>
      </c>
    </row>
    <row r="65" spans="3:19">
      <c r="C65">
        <v>100</v>
      </c>
      <c r="D65" s="4">
        <v>13345</v>
      </c>
      <c r="E65" s="4">
        <v>13264</v>
      </c>
      <c r="F65" s="4">
        <v>13796</v>
      </c>
      <c r="G65" s="4">
        <v>13279</v>
      </c>
      <c r="H65" s="4">
        <v>13174</v>
      </c>
      <c r="I65" s="4">
        <v>13108</v>
      </c>
      <c r="J65" s="1">
        <f t="shared" si="0"/>
        <v>13327.6666666667</v>
      </c>
      <c r="K65" s="9">
        <v>18653</v>
      </c>
      <c r="L65">
        <f t="shared" si="1"/>
        <v>0.145430112105222</v>
      </c>
      <c r="M65">
        <f t="shared" si="2"/>
        <v>0.148074177022551</v>
      </c>
      <c r="N65">
        <f t="shared" si="3"/>
        <v>0.130995504533396</v>
      </c>
      <c r="O65">
        <f t="shared" si="4"/>
        <v>0.14758331932583</v>
      </c>
      <c r="P65">
        <f t="shared" si="5"/>
        <v>0.151031031123254</v>
      </c>
      <c r="Q65">
        <f t="shared" si="6"/>
        <v>0.153212257518411</v>
      </c>
      <c r="R65">
        <f t="shared" si="7"/>
        <v>0.146054400271444</v>
      </c>
      <c r="S65">
        <f t="shared" si="8"/>
        <v>0.00786865862985815</v>
      </c>
    </row>
    <row r="66" spans="2:19">
      <c r="B66" s="12" t="s">
        <v>27</v>
      </c>
      <c r="C66">
        <v>120</v>
      </c>
      <c r="D66" s="4">
        <v>13386</v>
      </c>
      <c r="E66" s="4">
        <v>12956</v>
      </c>
      <c r="F66" s="4">
        <v>12914</v>
      </c>
      <c r="G66" s="4">
        <v>12973</v>
      </c>
      <c r="H66" s="4">
        <v>13194</v>
      </c>
      <c r="I66" s="4">
        <v>13483</v>
      </c>
      <c r="J66" s="1">
        <f t="shared" si="0"/>
        <v>13151</v>
      </c>
      <c r="K66" s="9">
        <v>18653</v>
      </c>
      <c r="L66">
        <f t="shared" si="1"/>
        <v>0.144097869561268</v>
      </c>
      <c r="M66">
        <f t="shared" si="2"/>
        <v>0.15827775089061</v>
      </c>
      <c r="N66">
        <f t="shared" si="3"/>
        <v>0.159687908158928</v>
      </c>
      <c r="O66">
        <f t="shared" si="4"/>
        <v>0.157708272140929</v>
      </c>
      <c r="P66">
        <f t="shared" si="5"/>
        <v>0.150372210484315</v>
      </c>
      <c r="Q66">
        <f t="shared" si="6"/>
        <v>0.140962155708409</v>
      </c>
      <c r="R66">
        <f t="shared" si="7"/>
        <v>0.151851027824076</v>
      </c>
      <c r="S66">
        <f t="shared" si="8"/>
        <v>0.00797361490752964</v>
      </c>
    </row>
    <row r="67" spans="3:19">
      <c r="C67">
        <v>140</v>
      </c>
      <c r="D67" s="4">
        <v>12860</v>
      </c>
      <c r="E67" s="4">
        <v>12747</v>
      </c>
      <c r="F67" s="4">
        <v>12370</v>
      </c>
      <c r="G67" s="4">
        <v>12836</v>
      </c>
      <c r="H67" s="4">
        <v>12619</v>
      </c>
      <c r="I67" s="4">
        <v>12764</v>
      </c>
      <c r="J67" s="1">
        <f t="shared" si="0"/>
        <v>12699.3333333333</v>
      </c>
      <c r="K67" s="9">
        <v>18653</v>
      </c>
      <c r="L67">
        <f t="shared" si="1"/>
        <v>0.161507721640546</v>
      </c>
      <c r="M67">
        <f t="shared" si="2"/>
        <v>0.165340704419572</v>
      </c>
      <c r="N67">
        <f t="shared" si="3"/>
        <v>0.178378990599628</v>
      </c>
      <c r="O67">
        <f t="shared" si="4"/>
        <v>0.162318981805282</v>
      </c>
      <c r="P67">
        <f t="shared" si="5"/>
        <v>0.169723749876054</v>
      </c>
      <c r="Q67">
        <f t="shared" si="6"/>
        <v>0.164761894707276</v>
      </c>
      <c r="R67">
        <f t="shared" si="7"/>
        <v>0.16700534050806</v>
      </c>
      <c r="S67">
        <f t="shared" si="8"/>
        <v>0.00627279043758244</v>
      </c>
    </row>
    <row r="68" spans="3:19">
      <c r="C68">
        <v>160</v>
      </c>
      <c r="D68" s="4">
        <v>12198</v>
      </c>
      <c r="E68" s="4">
        <v>12485</v>
      </c>
      <c r="F68" s="4">
        <v>12467</v>
      </c>
      <c r="G68" s="4">
        <v>12774</v>
      </c>
      <c r="H68" s="4">
        <v>12284</v>
      </c>
      <c r="I68" s="4">
        <v>12351</v>
      </c>
      <c r="J68" s="1">
        <f t="shared" ref="J68:J131" si="9">AVERAGE(D68:I68)</f>
        <v>12426.5</v>
      </c>
      <c r="K68" s="9">
        <v>18653</v>
      </c>
      <c r="L68">
        <f t="shared" ref="L68:L131" si="10">LOG10(K68/D68)</f>
        <v>0.184460061207067</v>
      </c>
      <c r="M68">
        <f t="shared" ref="M68:M131" si="11">LOG10(K68/E68)</f>
        <v>0.174360143541382</v>
      </c>
      <c r="N68">
        <f t="shared" ref="N68:N131" si="12">LOG10(K68/F68)</f>
        <v>0.174986730751249</v>
      </c>
      <c r="O68">
        <f t="shared" ref="O68:O131" si="13">LOG10(K68/G68)</f>
        <v>0.164421778406783</v>
      </c>
      <c r="P68">
        <f t="shared" ref="P68:P131" si="14">LOG10(K68/H68)</f>
        <v>0.181408882457718</v>
      </c>
      <c r="Q68">
        <f t="shared" ref="Q68:Q131" si="15">LOG10(K68/I68)</f>
        <v>0.1790465685116</v>
      </c>
      <c r="R68">
        <f t="shared" ref="R68:R131" si="16">AVERAGE(L68:Q68)</f>
        <v>0.176447360812633</v>
      </c>
      <c r="S68">
        <f t="shared" ref="S68:S131" si="17">STDEV(L68:Q68)</f>
        <v>0.00702396602528082</v>
      </c>
    </row>
    <row r="69" spans="3:19">
      <c r="C69">
        <v>180</v>
      </c>
      <c r="D69" s="4">
        <v>12243</v>
      </c>
      <c r="E69" s="4">
        <v>12569</v>
      </c>
      <c r="F69" s="4">
        <v>12087</v>
      </c>
      <c r="G69" s="4">
        <v>12110</v>
      </c>
      <c r="H69" s="4">
        <v>12468</v>
      </c>
      <c r="I69" s="4">
        <v>12345</v>
      </c>
      <c r="J69" s="1">
        <f t="shared" si="9"/>
        <v>12303.6666666667</v>
      </c>
      <c r="K69" s="9">
        <v>18653</v>
      </c>
      <c r="L69">
        <f t="shared" si="10"/>
        <v>0.182860840735816</v>
      </c>
      <c r="M69">
        <f t="shared" si="11"/>
        <v>0.171447963995286</v>
      </c>
      <c r="N69">
        <f t="shared" si="12"/>
        <v>0.188430168120709</v>
      </c>
      <c r="O69">
        <f t="shared" si="13"/>
        <v>0.187604547085697</v>
      </c>
      <c r="P69">
        <f t="shared" si="14"/>
        <v>0.174951896623947</v>
      </c>
      <c r="Q69">
        <f t="shared" si="15"/>
        <v>0.179257595960798</v>
      </c>
      <c r="R69">
        <f t="shared" si="16"/>
        <v>0.180758835420375</v>
      </c>
      <c r="S69">
        <f t="shared" si="17"/>
        <v>0.0068234613612897</v>
      </c>
    </row>
    <row r="70" spans="3:19">
      <c r="C70">
        <v>200</v>
      </c>
      <c r="D70" s="4">
        <v>12535</v>
      </c>
      <c r="E70" s="4">
        <v>12112</v>
      </c>
      <c r="F70" s="4">
        <v>12385</v>
      </c>
      <c r="G70" s="4">
        <v>12259</v>
      </c>
      <c r="H70" s="4">
        <v>12400</v>
      </c>
      <c r="I70" s="4">
        <v>12022</v>
      </c>
      <c r="J70" s="1">
        <f t="shared" si="9"/>
        <v>12285.5</v>
      </c>
      <c r="K70" s="9">
        <v>18653</v>
      </c>
      <c r="L70">
        <f t="shared" si="10"/>
        <v>0.172624351934514</v>
      </c>
      <c r="M70">
        <f t="shared" si="11"/>
        <v>0.187532828072751</v>
      </c>
      <c r="N70">
        <f t="shared" si="12"/>
        <v>0.177852679306893</v>
      </c>
      <c r="O70">
        <f t="shared" si="13"/>
        <v>0.182293645184584</v>
      </c>
      <c r="P70">
        <f t="shared" si="14"/>
        <v>0.177327005066514</v>
      </c>
      <c r="Q70">
        <f t="shared" si="15"/>
        <v>0.190771966596151</v>
      </c>
      <c r="R70">
        <f t="shared" si="16"/>
        <v>0.181400412693568</v>
      </c>
      <c r="S70">
        <f t="shared" si="17"/>
        <v>0.00681804531431926</v>
      </c>
    </row>
    <row r="71" spans="3:19">
      <c r="C71">
        <v>250</v>
      </c>
      <c r="D71" s="4">
        <v>12281</v>
      </c>
      <c r="E71" s="4">
        <v>12302</v>
      </c>
      <c r="F71" s="4">
        <v>13147</v>
      </c>
      <c r="G71" s="4">
        <v>12106</v>
      </c>
      <c r="H71" s="4">
        <v>12166</v>
      </c>
      <c r="I71" s="4">
        <v>12123</v>
      </c>
      <c r="J71" s="1">
        <f t="shared" si="9"/>
        <v>12354.1666666667</v>
      </c>
      <c r="K71" s="9">
        <v>18653</v>
      </c>
      <c r="L71">
        <f t="shared" si="10"/>
        <v>0.181514958863351</v>
      </c>
      <c r="M71">
        <f t="shared" si="11"/>
        <v>0.18077296754102</v>
      </c>
      <c r="N71">
        <f t="shared" si="12"/>
        <v>0.151922027295459</v>
      </c>
      <c r="O71">
        <f t="shared" si="13"/>
        <v>0.187748020652216</v>
      </c>
      <c r="P71">
        <f t="shared" si="14"/>
        <v>0.185600878101844</v>
      </c>
      <c r="Q71">
        <f t="shared" si="15"/>
        <v>0.187138585066438</v>
      </c>
      <c r="R71">
        <f t="shared" si="16"/>
        <v>0.179116239586721</v>
      </c>
      <c r="S71">
        <f t="shared" si="17"/>
        <v>0.0136304071241856</v>
      </c>
    </row>
    <row r="72" spans="3:19">
      <c r="C72">
        <v>300</v>
      </c>
      <c r="D72" s="4">
        <v>11977</v>
      </c>
      <c r="E72" s="4">
        <v>11957</v>
      </c>
      <c r="F72" s="4">
        <v>11907</v>
      </c>
      <c r="G72" s="4">
        <v>12028</v>
      </c>
      <c r="H72" s="4">
        <v>12140</v>
      </c>
      <c r="I72" s="4">
        <v>12023</v>
      </c>
      <c r="J72" s="1">
        <f t="shared" si="9"/>
        <v>12005.3333333333</v>
      </c>
      <c r="K72" s="9">
        <v>18653</v>
      </c>
      <c r="L72">
        <f t="shared" si="10"/>
        <v>0.192400640673392</v>
      </c>
      <c r="M72">
        <f t="shared" si="11"/>
        <v>0.193126460984229</v>
      </c>
      <c r="N72">
        <f t="shared" si="12"/>
        <v>0.194946336601923</v>
      </c>
      <c r="O72">
        <f t="shared" si="13"/>
        <v>0.190555270800269</v>
      </c>
      <c r="P72">
        <f t="shared" si="14"/>
        <v>0.18653000348951</v>
      </c>
      <c r="Q72">
        <f t="shared" si="15"/>
        <v>0.190735843120821</v>
      </c>
      <c r="R72">
        <f t="shared" si="16"/>
        <v>0.191382425945024</v>
      </c>
      <c r="S72">
        <f t="shared" si="17"/>
        <v>0.0028784765863291</v>
      </c>
    </row>
    <row r="73" spans="3:19">
      <c r="C73">
        <v>350</v>
      </c>
      <c r="D73" s="4">
        <v>11652</v>
      </c>
      <c r="E73" s="4">
        <v>11673</v>
      </c>
      <c r="F73" s="4">
        <v>11816</v>
      </c>
      <c r="G73" s="4">
        <v>11862</v>
      </c>
      <c r="H73" s="4">
        <v>11738</v>
      </c>
      <c r="I73" s="4">
        <v>12036</v>
      </c>
      <c r="J73" s="1">
        <f t="shared" si="9"/>
        <v>11796.1666666667</v>
      </c>
      <c r="K73" s="9">
        <v>18653</v>
      </c>
      <c r="L73">
        <f t="shared" si="10"/>
        <v>0.204348214273119</v>
      </c>
      <c r="M73">
        <f t="shared" si="11"/>
        <v>0.203566204705344</v>
      </c>
      <c r="N73">
        <f t="shared" si="12"/>
        <v>0.198278207924856</v>
      </c>
      <c r="O73">
        <f t="shared" si="13"/>
        <v>0.196590770531433</v>
      </c>
      <c r="P73">
        <f t="shared" si="14"/>
        <v>0.201154585051194</v>
      </c>
      <c r="Q73">
        <f t="shared" si="15"/>
        <v>0.190266511160706</v>
      </c>
      <c r="R73">
        <f t="shared" si="16"/>
        <v>0.199034082274442</v>
      </c>
      <c r="S73">
        <f t="shared" si="17"/>
        <v>0.00522853872883372</v>
      </c>
    </row>
    <row r="74" spans="3:19">
      <c r="C74">
        <v>400</v>
      </c>
      <c r="D74" s="4">
        <v>11549</v>
      </c>
      <c r="E74" s="4">
        <v>11622</v>
      </c>
      <c r="F74" s="4">
        <v>11648</v>
      </c>
      <c r="G74" s="4">
        <v>11704</v>
      </c>
      <c r="H74" s="4">
        <v>11579</v>
      </c>
      <c r="I74" s="4">
        <v>11973</v>
      </c>
      <c r="J74" s="1">
        <f t="shared" si="9"/>
        <v>11679.1666666667</v>
      </c>
      <c r="K74" s="9">
        <v>18653</v>
      </c>
      <c r="L74">
        <f t="shared" si="10"/>
        <v>0.208204308882284</v>
      </c>
      <c r="M74">
        <f t="shared" si="11"/>
        <v>0.205467819125994</v>
      </c>
      <c r="N74">
        <f t="shared" si="12"/>
        <v>0.204497328259787</v>
      </c>
      <c r="O74">
        <f t="shared" si="13"/>
        <v>0.202414377111494</v>
      </c>
      <c r="P74">
        <f t="shared" si="14"/>
        <v>0.207077636298031</v>
      </c>
      <c r="Q74">
        <f t="shared" si="15"/>
        <v>0.192545707725063</v>
      </c>
      <c r="R74">
        <f t="shared" si="16"/>
        <v>0.203367862900442</v>
      </c>
      <c r="S74">
        <f t="shared" si="17"/>
        <v>0.00567216562405643</v>
      </c>
    </row>
    <row r="75" spans="3:19">
      <c r="C75">
        <v>450</v>
      </c>
      <c r="D75" s="4">
        <v>11653</v>
      </c>
      <c r="E75" s="4">
        <v>11657</v>
      </c>
      <c r="F75" s="4">
        <v>11484</v>
      </c>
      <c r="G75" s="4">
        <v>11626</v>
      </c>
      <c r="H75" s="4">
        <v>11411</v>
      </c>
      <c r="I75" s="4">
        <v>11507</v>
      </c>
      <c r="J75" s="1">
        <f t="shared" si="9"/>
        <v>11556.3333333333</v>
      </c>
      <c r="K75" s="9">
        <v>18653</v>
      </c>
      <c r="L75">
        <f t="shared" si="10"/>
        <v>0.204310943774757</v>
      </c>
      <c r="M75">
        <f t="shared" si="11"/>
        <v>0.204161893758054</v>
      </c>
      <c r="N75">
        <f t="shared" si="12"/>
        <v>0.21065550640428</v>
      </c>
      <c r="O75">
        <f t="shared" si="13"/>
        <v>0.20531837160838</v>
      </c>
      <c r="P75">
        <f t="shared" si="14"/>
        <v>0.213424984859465</v>
      </c>
      <c r="Q75">
        <f t="shared" si="15"/>
        <v>0.209786577134916</v>
      </c>
      <c r="R75">
        <f t="shared" si="16"/>
        <v>0.207943046256642</v>
      </c>
      <c r="S75">
        <f t="shared" si="17"/>
        <v>0.00387778020683273</v>
      </c>
    </row>
    <row r="76" spans="3:19">
      <c r="C76">
        <v>500</v>
      </c>
      <c r="D76" s="4">
        <v>11343</v>
      </c>
      <c r="E76" s="4">
        <v>11292</v>
      </c>
      <c r="F76" s="4">
        <v>11360</v>
      </c>
      <c r="G76" s="4">
        <v>11350</v>
      </c>
      <c r="H76" s="4">
        <v>11804</v>
      </c>
      <c r="I76" s="4">
        <v>11628</v>
      </c>
      <c r="J76" s="1">
        <f t="shared" si="9"/>
        <v>11462.8333333333</v>
      </c>
      <c r="K76" s="9">
        <v>18653</v>
      </c>
      <c r="L76">
        <f t="shared" si="10"/>
        <v>0.216020758146551</v>
      </c>
      <c r="M76">
        <f t="shared" si="11"/>
        <v>0.217977820753867</v>
      </c>
      <c r="N76">
        <f t="shared" si="12"/>
        <v>0.215370358853749</v>
      </c>
      <c r="O76">
        <f t="shared" si="13"/>
        <v>0.215752828699607</v>
      </c>
      <c r="P76">
        <f t="shared" si="14"/>
        <v>0.198719489400827</v>
      </c>
      <c r="Q76">
        <f t="shared" si="15"/>
        <v>0.205243667130359</v>
      </c>
      <c r="R76">
        <f t="shared" si="16"/>
        <v>0.211514153830827</v>
      </c>
      <c r="S76">
        <f t="shared" si="17"/>
        <v>0.00771942479346225</v>
      </c>
    </row>
    <row r="77" spans="10:10">
      <c r="J77" s="1"/>
    </row>
    <row r="78" spans="10:10">
      <c r="J78" s="1"/>
    </row>
    <row r="79" spans="3:19">
      <c r="C79" t="s">
        <v>0</v>
      </c>
      <c r="D79" s="4">
        <v>16826</v>
      </c>
      <c r="E79" s="4">
        <v>17468</v>
      </c>
      <c r="F79" s="4">
        <v>16848</v>
      </c>
      <c r="G79" s="4">
        <v>16892</v>
      </c>
      <c r="H79" s="4">
        <v>17136</v>
      </c>
      <c r="I79" s="4">
        <v>17477</v>
      </c>
      <c r="J79" s="1">
        <f t="shared" si="9"/>
        <v>17107.8333333333</v>
      </c>
      <c r="K79" s="9">
        <v>21390</v>
      </c>
      <c r="L79">
        <f t="shared" si="10"/>
        <v>0.104229899991936</v>
      </c>
      <c r="M79">
        <f t="shared" si="11"/>
        <v>0.0879676013222255</v>
      </c>
      <c r="N79">
        <f t="shared" si="12"/>
        <v>0.103662430730117</v>
      </c>
      <c r="O79">
        <f t="shared" si="13"/>
        <v>0.102529711818658</v>
      </c>
      <c r="P79">
        <f t="shared" si="14"/>
        <v>0.0963013310837476</v>
      </c>
      <c r="Q79">
        <f t="shared" si="15"/>
        <v>0.0877438983361874</v>
      </c>
      <c r="R79">
        <f t="shared" si="16"/>
        <v>0.0970724788804785</v>
      </c>
      <c r="S79">
        <f t="shared" si="17"/>
        <v>0.00768053921200001</v>
      </c>
    </row>
    <row r="80" spans="3:19">
      <c r="C80">
        <v>20</v>
      </c>
      <c r="D80" s="4">
        <v>17993</v>
      </c>
      <c r="E80" s="4">
        <v>17333</v>
      </c>
      <c r="F80" s="4">
        <v>17458</v>
      </c>
      <c r="G80" s="4">
        <v>17503</v>
      </c>
      <c r="H80" s="4">
        <v>17811</v>
      </c>
      <c r="I80" s="4">
        <v>17382</v>
      </c>
      <c r="J80" s="1">
        <f t="shared" si="9"/>
        <v>17580</v>
      </c>
      <c r="K80" s="9">
        <v>21390</v>
      </c>
      <c r="L80">
        <f t="shared" si="10"/>
        <v>0.0751072046154257</v>
      </c>
      <c r="M80">
        <f t="shared" si="11"/>
        <v>0.0913370475536579</v>
      </c>
      <c r="N80">
        <f t="shared" si="12"/>
        <v>0.0882162954147473</v>
      </c>
      <c r="O80">
        <f t="shared" si="13"/>
        <v>0.0870982917833623</v>
      </c>
      <c r="P80">
        <f t="shared" si="14"/>
        <v>0.0795224809258069</v>
      </c>
      <c r="Q80">
        <f t="shared" si="15"/>
        <v>0.0901110389841225</v>
      </c>
      <c r="R80">
        <f t="shared" si="16"/>
        <v>0.0852320598795204</v>
      </c>
      <c r="S80">
        <f t="shared" si="17"/>
        <v>0.00645872713157476</v>
      </c>
    </row>
    <row r="81" spans="3:19">
      <c r="C81">
        <v>40</v>
      </c>
      <c r="D81" s="4">
        <v>17682</v>
      </c>
      <c r="E81" s="4">
        <v>18197</v>
      </c>
      <c r="F81" s="4">
        <v>17286</v>
      </c>
      <c r="G81" s="4">
        <v>17709</v>
      </c>
      <c r="H81" s="4">
        <v>17672</v>
      </c>
      <c r="I81" s="4">
        <v>17773</v>
      </c>
      <c r="J81" s="1">
        <f t="shared" si="9"/>
        <v>17719.8333333333</v>
      </c>
      <c r="K81" s="9">
        <v>21390</v>
      </c>
      <c r="L81">
        <f t="shared" si="10"/>
        <v>0.0826793983379592</v>
      </c>
      <c r="M81">
        <f t="shared" si="11"/>
        <v>0.0702109894896408</v>
      </c>
      <c r="N81">
        <f t="shared" si="12"/>
        <v>0.0925162759074714</v>
      </c>
      <c r="O81">
        <f t="shared" si="13"/>
        <v>0.0820167466306709</v>
      </c>
      <c r="P81">
        <f t="shared" si="14"/>
        <v>0.0829250817081495</v>
      </c>
      <c r="Q81">
        <f t="shared" si="15"/>
        <v>0.0804500436835489</v>
      </c>
      <c r="R81">
        <f t="shared" si="16"/>
        <v>0.0817997559595735</v>
      </c>
      <c r="S81">
        <f t="shared" si="17"/>
        <v>0.00711410212215125</v>
      </c>
    </row>
    <row r="82" spans="3:19">
      <c r="C82">
        <v>60</v>
      </c>
      <c r="D82" s="4">
        <v>17433</v>
      </c>
      <c r="E82" s="4">
        <v>17533</v>
      </c>
      <c r="F82" s="4">
        <v>17353</v>
      </c>
      <c r="G82" s="4">
        <v>17814</v>
      </c>
      <c r="H82" s="4">
        <v>17565</v>
      </c>
      <c r="I82" s="4">
        <v>17769</v>
      </c>
      <c r="J82" s="1">
        <f t="shared" si="9"/>
        <v>17577.8333333333</v>
      </c>
      <c r="K82" s="9">
        <v>21390</v>
      </c>
      <c r="L82">
        <f t="shared" si="10"/>
        <v>0.0888386544130923</v>
      </c>
      <c r="M82">
        <f t="shared" si="11"/>
        <v>0.0863545517650223</v>
      </c>
      <c r="N82">
        <f t="shared" si="12"/>
        <v>0.0908362177894498</v>
      </c>
      <c r="O82">
        <f t="shared" si="13"/>
        <v>0.0794493365918398</v>
      </c>
      <c r="P82">
        <f t="shared" si="14"/>
        <v>0.0855626304434836</v>
      </c>
      <c r="Q82">
        <f t="shared" si="15"/>
        <v>0.080547797210922</v>
      </c>
      <c r="R82">
        <f t="shared" si="16"/>
        <v>0.0852648647023016</v>
      </c>
      <c r="S82">
        <f t="shared" si="17"/>
        <v>0.00449798006602327</v>
      </c>
    </row>
    <row r="83" spans="3:19">
      <c r="C83">
        <v>80</v>
      </c>
      <c r="D83" s="4">
        <v>17386</v>
      </c>
      <c r="E83" s="4">
        <v>17610</v>
      </c>
      <c r="F83" s="4">
        <v>17744</v>
      </c>
      <c r="G83" s="4">
        <v>17396</v>
      </c>
      <c r="H83" s="4">
        <v>17517</v>
      </c>
      <c r="I83" s="4">
        <v>17291</v>
      </c>
      <c r="J83" s="1">
        <f t="shared" si="9"/>
        <v>17490.6666666667</v>
      </c>
      <c r="K83" s="9">
        <v>21390</v>
      </c>
      <c r="L83">
        <f t="shared" si="10"/>
        <v>0.0900111092823693</v>
      </c>
      <c r="M83">
        <f t="shared" si="11"/>
        <v>0.0844514286042511</v>
      </c>
      <c r="N83">
        <f t="shared" si="12"/>
        <v>0.0811592557664432</v>
      </c>
      <c r="O83">
        <f t="shared" si="13"/>
        <v>0.0897613855782297</v>
      </c>
      <c r="P83">
        <f t="shared" si="14"/>
        <v>0.0867510546005783</v>
      </c>
      <c r="Q83">
        <f t="shared" si="15"/>
        <v>0.0923906737774629</v>
      </c>
      <c r="R83">
        <f t="shared" si="16"/>
        <v>0.0874208179348891</v>
      </c>
      <c r="S83">
        <f t="shared" si="17"/>
        <v>0.00413183615270636</v>
      </c>
    </row>
    <row r="84" spans="3:19">
      <c r="C84">
        <v>100</v>
      </c>
      <c r="D84" s="4">
        <v>17495</v>
      </c>
      <c r="E84" s="4">
        <v>17278</v>
      </c>
      <c r="F84" s="4">
        <v>17755</v>
      </c>
      <c r="G84" s="4">
        <v>17294</v>
      </c>
      <c r="H84" s="4">
        <v>17251</v>
      </c>
      <c r="I84" s="4">
        <v>17117</v>
      </c>
      <c r="J84" s="1">
        <f t="shared" si="9"/>
        <v>17365</v>
      </c>
      <c r="K84" s="9">
        <v>21390</v>
      </c>
      <c r="L84">
        <f t="shared" si="10"/>
        <v>0.0872968377526027</v>
      </c>
      <c r="M84">
        <f t="shared" si="11"/>
        <v>0.0927173149028</v>
      </c>
      <c r="N84">
        <f t="shared" si="12"/>
        <v>0.0808901079338937</v>
      </c>
      <c r="O84">
        <f t="shared" si="13"/>
        <v>0.0923153299319242</v>
      </c>
      <c r="P84">
        <f t="shared" si="14"/>
        <v>0.0933965094002557</v>
      </c>
      <c r="Q84">
        <f t="shared" si="15"/>
        <v>0.0967831339040825</v>
      </c>
      <c r="R84">
        <f t="shared" si="16"/>
        <v>0.0905665389709265</v>
      </c>
      <c r="S84">
        <f t="shared" si="17"/>
        <v>0.00563317238862387</v>
      </c>
    </row>
    <row r="85" spans="3:19">
      <c r="C85">
        <v>120</v>
      </c>
      <c r="D85" s="4">
        <v>18085</v>
      </c>
      <c r="E85" s="4">
        <v>17417</v>
      </c>
      <c r="F85" s="4">
        <v>17304</v>
      </c>
      <c r="G85" s="4">
        <v>17368</v>
      </c>
      <c r="H85" s="4">
        <v>17883</v>
      </c>
      <c r="I85" s="4">
        <v>18429</v>
      </c>
      <c r="J85" s="1">
        <f t="shared" si="9"/>
        <v>17747.6666666667</v>
      </c>
      <c r="K85" s="9">
        <v>21390</v>
      </c>
      <c r="L85">
        <f t="shared" si="10"/>
        <v>0.0728922714738895</v>
      </c>
      <c r="M85">
        <f t="shared" si="11"/>
        <v>0.0892374327315241</v>
      </c>
      <c r="N85">
        <f t="shared" si="12"/>
        <v>0.0920642781404929</v>
      </c>
      <c r="O85">
        <f t="shared" si="13"/>
        <v>0.0904609741251644</v>
      </c>
      <c r="P85">
        <f t="shared" si="14"/>
        <v>0.077770408022388</v>
      </c>
      <c r="Q85">
        <f t="shared" si="15"/>
        <v>0.0647090145323023</v>
      </c>
      <c r="R85">
        <f t="shared" si="16"/>
        <v>0.0811890631709602</v>
      </c>
      <c r="S85">
        <f t="shared" si="17"/>
        <v>0.0111456793833451</v>
      </c>
    </row>
    <row r="86" spans="3:19">
      <c r="C86">
        <v>140</v>
      </c>
      <c r="D86" s="4">
        <v>17315</v>
      </c>
      <c r="E86" s="4">
        <v>17431</v>
      </c>
      <c r="F86" s="4">
        <v>16785</v>
      </c>
      <c r="G86" s="4">
        <v>17514</v>
      </c>
      <c r="H86" s="4">
        <v>17213</v>
      </c>
      <c r="I86" s="4">
        <v>17324</v>
      </c>
      <c r="J86" s="1">
        <f t="shared" si="9"/>
        <v>17263.6666666667</v>
      </c>
      <c r="K86" s="9">
        <v>21390</v>
      </c>
      <c r="L86">
        <f t="shared" si="10"/>
        <v>0.0917882886860483</v>
      </c>
      <c r="M86">
        <f t="shared" si="11"/>
        <v>0.088888481682755</v>
      </c>
      <c r="N86">
        <f t="shared" si="12"/>
        <v>0.105289438987497</v>
      </c>
      <c r="O86">
        <f t="shared" si="13"/>
        <v>0.08682543919987</v>
      </c>
      <c r="P86">
        <f t="shared" si="14"/>
        <v>0.094354215818554</v>
      </c>
      <c r="Q86">
        <f t="shared" si="15"/>
        <v>0.0915626095137233</v>
      </c>
      <c r="R86">
        <f t="shared" si="16"/>
        <v>0.0931180789814079</v>
      </c>
      <c r="S86">
        <f t="shared" si="17"/>
        <v>0.00650145637378989</v>
      </c>
    </row>
    <row r="87" spans="2:19">
      <c r="B87" s="13" t="s">
        <v>28</v>
      </c>
      <c r="C87">
        <v>160</v>
      </c>
      <c r="D87" s="4">
        <v>16686</v>
      </c>
      <c r="E87" s="4">
        <v>17180</v>
      </c>
      <c r="F87" s="4">
        <v>16974</v>
      </c>
      <c r="G87" s="4">
        <v>17061</v>
      </c>
      <c r="H87" s="4">
        <v>16656</v>
      </c>
      <c r="I87" s="4">
        <v>17049</v>
      </c>
      <c r="J87" s="1">
        <f t="shared" si="9"/>
        <v>16934.3333333333</v>
      </c>
      <c r="K87" s="9">
        <v>21390</v>
      </c>
      <c r="L87">
        <f t="shared" si="10"/>
        <v>0.107858545323725</v>
      </c>
      <c r="M87">
        <f t="shared" si="11"/>
        <v>0.0951876250763045</v>
      </c>
      <c r="N87">
        <f t="shared" si="12"/>
        <v>0.100426586730894</v>
      </c>
      <c r="O87">
        <f t="shared" si="13"/>
        <v>0.098206301599698</v>
      </c>
      <c r="P87">
        <f t="shared" si="14"/>
        <v>0.108640072405067</v>
      </c>
      <c r="Q87">
        <f t="shared" si="15"/>
        <v>0.0985118738071352</v>
      </c>
      <c r="R87">
        <f t="shared" si="16"/>
        <v>0.101471834157137</v>
      </c>
      <c r="S87">
        <f t="shared" si="17"/>
        <v>0.00551693054542956</v>
      </c>
    </row>
    <row r="88" spans="3:19">
      <c r="C88">
        <v>180</v>
      </c>
      <c r="D88" s="4">
        <v>16568</v>
      </c>
      <c r="E88" s="4">
        <v>17280</v>
      </c>
      <c r="F88" s="4">
        <v>16395</v>
      </c>
      <c r="G88" s="4">
        <v>16470</v>
      </c>
      <c r="H88" s="4">
        <v>17036</v>
      </c>
      <c r="I88" s="4">
        <v>17126</v>
      </c>
      <c r="J88" s="1">
        <f t="shared" si="9"/>
        <v>16812.5</v>
      </c>
      <c r="K88" s="9">
        <v>21390</v>
      </c>
      <c r="L88">
        <f t="shared" si="10"/>
        <v>0.110940698686132</v>
      </c>
      <c r="M88">
        <f t="shared" si="11"/>
        <v>0.0926670464286535</v>
      </c>
      <c r="N88">
        <f t="shared" si="12"/>
        <v>0.115499363566144</v>
      </c>
      <c r="O88">
        <f t="shared" si="13"/>
        <v>0.113517185401774</v>
      </c>
      <c r="P88">
        <f t="shared" si="14"/>
        <v>0.0988431531698168</v>
      </c>
      <c r="Q88">
        <f t="shared" si="15"/>
        <v>0.0965548448857646</v>
      </c>
      <c r="R88">
        <f t="shared" si="16"/>
        <v>0.104670382023047</v>
      </c>
      <c r="S88">
        <f t="shared" si="17"/>
        <v>0.00978517497916213</v>
      </c>
    </row>
    <row r="89" spans="3:19">
      <c r="C89">
        <v>200</v>
      </c>
      <c r="D89" s="4">
        <v>17059</v>
      </c>
      <c r="E89" s="4">
        <v>16285</v>
      </c>
      <c r="F89" s="4">
        <v>16726</v>
      </c>
      <c r="G89" s="4">
        <v>16619</v>
      </c>
      <c r="H89" s="4">
        <v>16728</v>
      </c>
      <c r="I89" s="4">
        <v>16328</v>
      </c>
      <c r="J89" s="1">
        <f t="shared" si="9"/>
        <v>16624.1666666667</v>
      </c>
      <c r="K89" s="9">
        <v>21390</v>
      </c>
      <c r="L89">
        <f t="shared" si="10"/>
        <v>0.0982572153725469</v>
      </c>
      <c r="M89">
        <f t="shared" si="11"/>
        <v>0.118423021670636</v>
      </c>
      <c r="N89">
        <f t="shared" si="12"/>
        <v>0.106818692122757</v>
      </c>
      <c r="O89">
        <f t="shared" si="13"/>
        <v>0.109605896744846</v>
      </c>
      <c r="P89">
        <f t="shared" si="14"/>
        <v>0.106766764761913</v>
      </c>
      <c r="Q89">
        <f t="shared" si="15"/>
        <v>0.117277792863514</v>
      </c>
      <c r="R89">
        <f t="shared" si="16"/>
        <v>0.109524897256035</v>
      </c>
      <c r="S89">
        <f t="shared" si="17"/>
        <v>0.00749909415091415</v>
      </c>
    </row>
    <row r="90" spans="3:19">
      <c r="C90">
        <v>250</v>
      </c>
      <c r="D90" s="4">
        <v>16989</v>
      </c>
      <c r="E90" s="4">
        <v>17141</v>
      </c>
      <c r="F90" s="4">
        <v>17756</v>
      </c>
      <c r="G90" s="4">
        <v>16839</v>
      </c>
      <c r="H90" s="4">
        <v>16654</v>
      </c>
      <c r="I90" s="4">
        <v>16717</v>
      </c>
      <c r="J90" s="1">
        <f t="shared" si="9"/>
        <v>17016</v>
      </c>
      <c r="K90" s="9">
        <v>21390</v>
      </c>
      <c r="L90">
        <f t="shared" si="10"/>
        <v>0.100042968225336</v>
      </c>
      <c r="M90">
        <f t="shared" si="11"/>
        <v>0.0961746296556811</v>
      </c>
      <c r="N90">
        <f t="shared" si="12"/>
        <v>0.080865648218199</v>
      </c>
      <c r="O90">
        <f t="shared" si="13"/>
        <v>0.103894487632193</v>
      </c>
      <c r="P90">
        <f t="shared" si="14"/>
        <v>0.108692224249249</v>
      </c>
      <c r="Q90">
        <f t="shared" si="15"/>
        <v>0.107052442111184</v>
      </c>
      <c r="R90">
        <f t="shared" si="16"/>
        <v>0.0994537333486405</v>
      </c>
      <c r="S90">
        <f t="shared" si="17"/>
        <v>0.0101924189000562</v>
      </c>
    </row>
    <row r="91" spans="3:19">
      <c r="C91">
        <v>300</v>
      </c>
      <c r="D91" s="4">
        <v>16371</v>
      </c>
      <c r="E91" s="4">
        <v>16279</v>
      </c>
      <c r="F91" s="4">
        <v>16097</v>
      </c>
      <c r="G91" s="4">
        <v>16186</v>
      </c>
      <c r="H91" s="4">
        <v>16486</v>
      </c>
      <c r="I91" s="4">
        <v>16586</v>
      </c>
      <c r="J91" s="1">
        <f t="shared" si="9"/>
        <v>16334.1666666667</v>
      </c>
      <c r="K91" s="9">
        <v>21390</v>
      </c>
      <c r="L91">
        <f t="shared" si="10"/>
        <v>0.11613557606872</v>
      </c>
      <c r="M91">
        <f t="shared" si="11"/>
        <v>0.118583061402911</v>
      </c>
      <c r="N91">
        <f t="shared" si="12"/>
        <v>0.123465840517781</v>
      </c>
      <c r="O91">
        <f t="shared" si="13"/>
        <v>0.121071248514995</v>
      </c>
      <c r="P91">
        <f t="shared" si="14"/>
        <v>0.113095489063844</v>
      </c>
      <c r="Q91">
        <f t="shared" si="15"/>
        <v>0.110469123525226</v>
      </c>
      <c r="R91">
        <f t="shared" si="16"/>
        <v>0.117136723182246</v>
      </c>
      <c r="S91">
        <f t="shared" si="17"/>
        <v>0.00488714362421487</v>
      </c>
    </row>
    <row r="92" spans="3:19">
      <c r="C92">
        <v>350</v>
      </c>
      <c r="D92" s="4">
        <v>16296</v>
      </c>
      <c r="E92" s="4">
        <v>16250</v>
      </c>
      <c r="F92" s="4">
        <v>16653</v>
      </c>
      <c r="G92" s="4">
        <v>16436</v>
      </c>
      <c r="H92" s="4">
        <v>16361</v>
      </c>
      <c r="I92" s="4">
        <v>16956</v>
      </c>
      <c r="J92" s="1">
        <f t="shared" si="9"/>
        <v>16492</v>
      </c>
      <c r="K92" s="9">
        <v>21390</v>
      </c>
      <c r="L92">
        <f t="shared" si="10"/>
        <v>0.11812976857942</v>
      </c>
      <c r="M92">
        <f t="shared" si="11"/>
        <v>0.119357419256635</v>
      </c>
      <c r="N92">
        <f t="shared" si="12"/>
        <v>0.108718302520005</v>
      </c>
      <c r="O92">
        <f t="shared" si="13"/>
        <v>0.114414651981694</v>
      </c>
      <c r="P92">
        <f t="shared" si="14"/>
        <v>0.116400939930027</v>
      </c>
      <c r="Q92">
        <f t="shared" si="15"/>
        <v>0.100887376675345</v>
      </c>
      <c r="R92">
        <f t="shared" si="16"/>
        <v>0.112984743157188</v>
      </c>
      <c r="S92">
        <f t="shared" si="17"/>
        <v>0.00700494280358759</v>
      </c>
    </row>
    <row r="93" spans="3:19">
      <c r="C93">
        <v>400</v>
      </c>
      <c r="D93" s="4">
        <v>16282</v>
      </c>
      <c r="E93" s="4">
        <v>16072</v>
      </c>
      <c r="F93" s="4">
        <v>16178</v>
      </c>
      <c r="G93" s="4">
        <v>16079</v>
      </c>
      <c r="H93" s="4">
        <v>16160</v>
      </c>
      <c r="I93" s="4">
        <v>16882</v>
      </c>
      <c r="J93" s="1">
        <f t="shared" si="9"/>
        <v>16275.5</v>
      </c>
      <c r="K93" s="9">
        <v>21390</v>
      </c>
      <c r="L93">
        <f t="shared" si="10"/>
        <v>0.118503034164842</v>
      </c>
      <c r="M93">
        <f t="shared" si="11"/>
        <v>0.124140860831335</v>
      </c>
      <c r="N93">
        <f t="shared" si="12"/>
        <v>0.121285953491264</v>
      </c>
      <c r="O93">
        <f t="shared" si="13"/>
        <v>0.123951749362245</v>
      </c>
      <c r="P93">
        <f t="shared" si="14"/>
        <v>0.121769428132961</v>
      </c>
      <c r="Q93">
        <f t="shared" si="15"/>
        <v>0.102786888637865</v>
      </c>
      <c r="R93">
        <f t="shared" si="16"/>
        <v>0.118739652436752</v>
      </c>
      <c r="S93">
        <f t="shared" si="17"/>
        <v>0.00808144612481815</v>
      </c>
    </row>
    <row r="94" spans="3:19">
      <c r="C94">
        <v>450</v>
      </c>
      <c r="D94" s="4">
        <v>16179</v>
      </c>
      <c r="E94" s="4">
        <v>16231</v>
      </c>
      <c r="F94" s="4">
        <v>16034</v>
      </c>
      <c r="G94" s="4">
        <v>16313</v>
      </c>
      <c r="H94" s="4">
        <v>16196</v>
      </c>
      <c r="I94" s="4">
        <v>16162</v>
      </c>
      <c r="J94" s="1">
        <f t="shared" si="9"/>
        <v>16185.8333333333</v>
      </c>
      <c r="K94" s="9">
        <v>21390</v>
      </c>
      <c r="L94">
        <f t="shared" si="10"/>
        <v>0.121259109563703</v>
      </c>
      <c r="M94">
        <f t="shared" si="11"/>
        <v>0.119865506821508</v>
      </c>
      <c r="N94">
        <f t="shared" si="12"/>
        <v>0.125168905310159</v>
      </c>
      <c r="O94">
        <f t="shared" si="13"/>
        <v>0.117676948384921</v>
      </c>
      <c r="P94">
        <f t="shared" si="14"/>
        <v>0.120803016475152</v>
      </c>
      <c r="Q94">
        <f t="shared" si="15"/>
        <v>0.121715682141691</v>
      </c>
      <c r="R94">
        <f t="shared" si="16"/>
        <v>0.121081528116189</v>
      </c>
      <c r="S94">
        <f t="shared" si="17"/>
        <v>0.00246121021021023</v>
      </c>
    </row>
    <row r="95" spans="3:19">
      <c r="C95">
        <v>500</v>
      </c>
      <c r="D95" s="4">
        <v>16034</v>
      </c>
      <c r="E95" s="4">
        <v>15843</v>
      </c>
      <c r="F95" s="4">
        <v>15842</v>
      </c>
      <c r="G95" s="4">
        <v>15938</v>
      </c>
      <c r="H95" s="4">
        <v>16820</v>
      </c>
      <c r="I95" s="4">
        <v>16675</v>
      </c>
      <c r="J95" s="1">
        <f t="shared" si="9"/>
        <v>16192</v>
      </c>
      <c r="K95" s="9">
        <v>21390</v>
      </c>
      <c r="L95">
        <f t="shared" si="10"/>
        <v>0.125168905310159</v>
      </c>
      <c r="M95">
        <f t="shared" si="11"/>
        <v>0.130373362363371</v>
      </c>
      <c r="N95">
        <f t="shared" si="12"/>
        <v>0.130400775617721</v>
      </c>
      <c r="O95">
        <f t="shared" si="13"/>
        <v>0.127776962082295</v>
      </c>
      <c r="P95">
        <f t="shared" si="14"/>
        <v>0.104384793109635</v>
      </c>
      <c r="Q95">
        <f t="shared" si="15"/>
        <v>0.108144941982941</v>
      </c>
      <c r="R95">
        <f t="shared" si="16"/>
        <v>0.12104162341102</v>
      </c>
      <c r="S95">
        <f t="shared" si="17"/>
        <v>0.0116691791685726</v>
      </c>
    </row>
    <row r="96" spans="4:10">
      <c r="D96" s="4"/>
      <c r="E96" s="4"/>
      <c r="F96" s="4"/>
      <c r="G96" s="4"/>
      <c r="H96" s="4"/>
      <c r="I96" s="4"/>
      <c r="J96" s="1"/>
    </row>
    <row r="97" spans="4:10">
      <c r="D97" s="4"/>
      <c r="E97" s="4"/>
      <c r="F97" s="4"/>
      <c r="G97" s="4"/>
      <c r="H97" s="4"/>
      <c r="I97" s="4"/>
      <c r="J97" s="1"/>
    </row>
    <row r="98" spans="3:19">
      <c r="C98" t="s">
        <v>0</v>
      </c>
      <c r="D98" s="4">
        <v>22353</v>
      </c>
      <c r="E98" s="4">
        <v>23158</v>
      </c>
      <c r="F98" s="4">
        <v>22366</v>
      </c>
      <c r="G98" s="4">
        <v>22449</v>
      </c>
      <c r="H98" s="4">
        <v>22767</v>
      </c>
      <c r="I98" s="4">
        <v>23182</v>
      </c>
      <c r="J98" s="1">
        <f t="shared" si="9"/>
        <v>22712.5</v>
      </c>
      <c r="K98" s="9">
        <v>27694</v>
      </c>
      <c r="L98">
        <f t="shared" si="10"/>
        <v>0.0930498697506229</v>
      </c>
      <c r="M98">
        <f t="shared" si="11"/>
        <v>0.0776846382731722</v>
      </c>
      <c r="N98">
        <f t="shared" si="12"/>
        <v>0.092797367305408</v>
      </c>
      <c r="O98">
        <f t="shared" si="13"/>
        <v>0.0911886879251737</v>
      </c>
      <c r="P98">
        <f t="shared" si="14"/>
        <v>0.0850798803217751</v>
      </c>
      <c r="Q98">
        <f t="shared" si="15"/>
        <v>0.0772347863742679</v>
      </c>
      <c r="R98">
        <f t="shared" si="16"/>
        <v>0.08617253832507</v>
      </c>
      <c r="S98">
        <f t="shared" si="17"/>
        <v>0.00734124733411814</v>
      </c>
    </row>
    <row r="99" spans="3:19">
      <c r="C99">
        <v>20</v>
      </c>
      <c r="D99" s="4">
        <v>23798</v>
      </c>
      <c r="E99" s="4">
        <v>22984</v>
      </c>
      <c r="F99" s="4">
        <v>23145</v>
      </c>
      <c r="G99" s="4">
        <v>23201</v>
      </c>
      <c r="H99" s="4">
        <v>23586</v>
      </c>
      <c r="I99" s="4">
        <v>23049</v>
      </c>
      <c r="J99" s="1">
        <f t="shared" si="9"/>
        <v>23293.8333333333</v>
      </c>
      <c r="K99" s="9">
        <v>27694</v>
      </c>
      <c r="L99">
        <f t="shared" si="10"/>
        <v>0.065845227679476</v>
      </c>
      <c r="M99">
        <f t="shared" si="11"/>
        <v>0.0809600748839799</v>
      </c>
      <c r="N99">
        <f t="shared" si="12"/>
        <v>0.0779285027490414</v>
      </c>
      <c r="O99">
        <f t="shared" si="13"/>
        <v>0.0768789837906619</v>
      </c>
      <c r="P99">
        <f t="shared" si="14"/>
        <v>0.0697313936641381</v>
      </c>
      <c r="Q99">
        <f t="shared" si="15"/>
        <v>0.0797335999601164</v>
      </c>
      <c r="R99">
        <f t="shared" si="16"/>
        <v>0.0751796304545689</v>
      </c>
      <c r="S99">
        <f t="shared" si="17"/>
        <v>0.00602346471731078</v>
      </c>
    </row>
    <row r="100" spans="3:19">
      <c r="C100">
        <v>40</v>
      </c>
      <c r="D100" s="4">
        <v>23435</v>
      </c>
      <c r="E100" s="4">
        <v>24063</v>
      </c>
      <c r="F100" s="4">
        <v>22946</v>
      </c>
      <c r="G100" s="4">
        <v>23442</v>
      </c>
      <c r="H100" s="4">
        <v>23405</v>
      </c>
      <c r="I100" s="4">
        <v>23544</v>
      </c>
      <c r="J100" s="1">
        <f t="shared" si="9"/>
        <v>23472.5</v>
      </c>
      <c r="K100" s="9">
        <v>27694</v>
      </c>
      <c r="L100">
        <f t="shared" si="10"/>
        <v>0.072520730011642</v>
      </c>
      <c r="M100">
        <f t="shared" si="11"/>
        <v>0.0610359168081301</v>
      </c>
      <c r="N100">
        <f t="shared" si="12"/>
        <v>0.0816786986191338</v>
      </c>
      <c r="O100">
        <f t="shared" si="13"/>
        <v>0.0723910262594429</v>
      </c>
      <c r="P100">
        <f t="shared" si="14"/>
        <v>0.07307704240441</v>
      </c>
      <c r="Q100">
        <f t="shared" si="15"/>
        <v>0.0705054387763164</v>
      </c>
      <c r="R100">
        <f t="shared" si="16"/>
        <v>0.0718681421465125</v>
      </c>
      <c r="S100">
        <f t="shared" si="17"/>
        <v>0.00659699633333146</v>
      </c>
    </row>
    <row r="101" spans="3:19">
      <c r="C101">
        <v>60</v>
      </c>
      <c r="D101" s="4">
        <v>23082</v>
      </c>
      <c r="E101" s="4">
        <v>23173</v>
      </c>
      <c r="F101" s="4">
        <v>22959</v>
      </c>
      <c r="G101" s="4">
        <v>23567</v>
      </c>
      <c r="H101" s="4">
        <v>23249</v>
      </c>
      <c r="I101" s="4">
        <v>23532</v>
      </c>
      <c r="J101" s="1">
        <f t="shared" si="9"/>
        <v>23260.3333333333</v>
      </c>
      <c r="K101" s="9">
        <v>27694</v>
      </c>
      <c r="L101">
        <f t="shared" si="10"/>
        <v>0.0791122511774118</v>
      </c>
      <c r="M101">
        <f t="shared" si="11"/>
        <v>0.0774034262356094</v>
      </c>
      <c r="N101">
        <f t="shared" si="12"/>
        <v>0.081432719818756</v>
      </c>
      <c r="O101">
        <f t="shared" si="13"/>
        <v>0.0700813860549827</v>
      </c>
      <c r="P101">
        <f t="shared" si="14"/>
        <v>0.0759814103761708</v>
      </c>
      <c r="Q101">
        <f t="shared" si="15"/>
        <v>0.0707268481524621</v>
      </c>
      <c r="R101">
        <f t="shared" si="16"/>
        <v>0.0757896736358988</v>
      </c>
      <c r="S101">
        <f t="shared" si="17"/>
        <v>0.00455502362571362</v>
      </c>
    </row>
    <row r="102" spans="3:19">
      <c r="C102">
        <v>80</v>
      </c>
      <c r="D102" s="4">
        <v>22977</v>
      </c>
      <c r="E102" s="4">
        <v>23281</v>
      </c>
      <c r="F102" s="4">
        <v>23455</v>
      </c>
      <c r="G102" s="4">
        <v>23043</v>
      </c>
      <c r="H102" s="4">
        <v>23164</v>
      </c>
      <c r="I102" s="4">
        <v>22888</v>
      </c>
      <c r="J102" s="1">
        <f t="shared" si="9"/>
        <v>23134.6666666667</v>
      </c>
      <c r="K102" s="9">
        <v>27694</v>
      </c>
      <c r="L102">
        <f t="shared" si="10"/>
        <v>0.0810923636242957</v>
      </c>
      <c r="M102">
        <f t="shared" si="11"/>
        <v>0.0753840570294299</v>
      </c>
      <c r="N102">
        <f t="shared" si="12"/>
        <v>0.0721502505846938</v>
      </c>
      <c r="O102">
        <f t="shared" si="13"/>
        <v>0.0798466680372724</v>
      </c>
      <c r="P102">
        <f t="shared" si="14"/>
        <v>0.0775721316065346</v>
      </c>
      <c r="Q102">
        <f t="shared" si="15"/>
        <v>0.0827778430706647</v>
      </c>
      <c r="R102">
        <f t="shared" si="16"/>
        <v>0.0781372189921485</v>
      </c>
      <c r="S102">
        <f t="shared" si="17"/>
        <v>0.00392258850584889</v>
      </c>
    </row>
    <row r="103" spans="3:19">
      <c r="C103">
        <v>100</v>
      </c>
      <c r="D103" s="4">
        <v>23154</v>
      </c>
      <c r="E103" s="4">
        <v>22861</v>
      </c>
      <c r="F103" s="4">
        <v>23498</v>
      </c>
      <c r="G103" s="4">
        <v>22948</v>
      </c>
      <c r="H103" s="4">
        <v>22853</v>
      </c>
      <c r="I103" s="4">
        <v>22670</v>
      </c>
      <c r="J103" s="1">
        <f t="shared" si="9"/>
        <v>22997.3333333333</v>
      </c>
      <c r="K103" s="9">
        <v>27694</v>
      </c>
      <c r="L103">
        <f t="shared" si="10"/>
        <v>0.0777596589128307</v>
      </c>
      <c r="M103">
        <f t="shared" si="11"/>
        <v>0.0832904642152932</v>
      </c>
      <c r="N103">
        <f t="shared" si="12"/>
        <v>0.0713547884015448</v>
      </c>
      <c r="O103">
        <f t="shared" si="13"/>
        <v>0.0816408466574675</v>
      </c>
      <c r="P103">
        <f t="shared" si="14"/>
        <v>0.0834424682355362</v>
      </c>
      <c r="Q103">
        <f t="shared" si="15"/>
        <v>0.0869341677413536</v>
      </c>
      <c r="R103">
        <f t="shared" si="16"/>
        <v>0.0807370656940043</v>
      </c>
      <c r="S103">
        <f t="shared" si="17"/>
        <v>0.00547634949703921</v>
      </c>
    </row>
    <row r="104" spans="3:19">
      <c r="C104">
        <v>120</v>
      </c>
      <c r="D104" s="4">
        <v>23882</v>
      </c>
      <c r="E104" s="4">
        <v>23051</v>
      </c>
      <c r="F104" s="4">
        <v>22905</v>
      </c>
      <c r="G104" s="4">
        <v>22982</v>
      </c>
      <c r="H104" s="4">
        <v>23644</v>
      </c>
      <c r="I104" s="4">
        <v>24345</v>
      </c>
      <c r="J104" s="1">
        <f t="shared" si="9"/>
        <v>23468.1666666667</v>
      </c>
      <c r="K104" s="9">
        <v>27694</v>
      </c>
      <c r="L104">
        <f t="shared" si="10"/>
        <v>0.0643149938614287</v>
      </c>
      <c r="M104">
        <f t="shared" si="11"/>
        <v>0.0796959171417064</v>
      </c>
      <c r="N104">
        <f t="shared" si="12"/>
        <v>0.0824553917557685</v>
      </c>
      <c r="O104">
        <f t="shared" si="13"/>
        <v>0.0809978675552741</v>
      </c>
      <c r="P104">
        <f t="shared" si="14"/>
        <v>0.0686647371910211</v>
      </c>
      <c r="Q104">
        <f t="shared" si="15"/>
        <v>0.0559759089859578</v>
      </c>
      <c r="R104">
        <f t="shared" si="16"/>
        <v>0.0720174694151928</v>
      </c>
      <c r="S104">
        <f t="shared" si="17"/>
        <v>0.0107373827077105</v>
      </c>
    </row>
    <row r="105" spans="2:19">
      <c r="B105" s="14" t="s">
        <v>29</v>
      </c>
      <c r="C105">
        <v>140</v>
      </c>
      <c r="D105" s="4">
        <v>22925</v>
      </c>
      <c r="E105" s="4">
        <v>23102</v>
      </c>
      <c r="F105" s="4">
        <v>22278</v>
      </c>
      <c r="G105" s="4">
        <v>23188</v>
      </c>
      <c r="H105" s="4">
        <v>22836</v>
      </c>
      <c r="I105" s="4">
        <v>22958</v>
      </c>
      <c r="J105" s="1">
        <f t="shared" si="9"/>
        <v>22881.1666666667</v>
      </c>
      <c r="K105" s="9">
        <v>27694</v>
      </c>
      <c r="L105">
        <f t="shared" si="10"/>
        <v>0.0820763435258123</v>
      </c>
      <c r="M105">
        <f t="shared" si="11"/>
        <v>0.0787361083495481</v>
      </c>
      <c r="N105">
        <f t="shared" si="12"/>
        <v>0.0945094882580685</v>
      </c>
      <c r="O105">
        <f t="shared" si="13"/>
        <v>0.0771223961691369</v>
      </c>
      <c r="P105">
        <f t="shared" si="14"/>
        <v>0.0837656535332257</v>
      </c>
      <c r="Q105">
        <f t="shared" si="15"/>
        <v>0.0814516363194844</v>
      </c>
      <c r="R105">
        <f t="shared" si="16"/>
        <v>0.0829436043592126</v>
      </c>
      <c r="S105">
        <f t="shared" si="17"/>
        <v>0.00614838243206416</v>
      </c>
    </row>
    <row r="106" spans="3:19">
      <c r="C106">
        <v>160</v>
      </c>
      <c r="D106" s="4">
        <v>22188</v>
      </c>
      <c r="E106" s="4">
        <v>22795</v>
      </c>
      <c r="F106" s="4">
        <v>22520</v>
      </c>
      <c r="G106" s="4">
        <v>22647</v>
      </c>
      <c r="H106" s="4">
        <v>22114</v>
      </c>
      <c r="I106" s="4">
        <v>22623</v>
      </c>
      <c r="J106" s="1">
        <f t="shared" si="9"/>
        <v>22481.1666666667</v>
      </c>
      <c r="K106" s="9">
        <v>27694</v>
      </c>
      <c r="L106">
        <f t="shared" si="10"/>
        <v>0.0962675306610731</v>
      </c>
      <c r="M106">
        <f t="shared" si="11"/>
        <v>0.0845460913298899</v>
      </c>
      <c r="N106">
        <f t="shared" si="12"/>
        <v>0.0898173016885623</v>
      </c>
      <c r="O106">
        <f t="shared" si="13"/>
        <v>0.0873750077767245</v>
      </c>
      <c r="P106">
        <f t="shared" si="14"/>
        <v>0.0977183826113192</v>
      </c>
      <c r="Q106">
        <f t="shared" si="15"/>
        <v>0.0878354923599888</v>
      </c>
      <c r="R106">
        <f t="shared" si="16"/>
        <v>0.0905933010712596</v>
      </c>
      <c r="S106">
        <f t="shared" si="17"/>
        <v>0.00525542595240552</v>
      </c>
    </row>
    <row r="107" spans="3:19">
      <c r="C107">
        <v>180</v>
      </c>
      <c r="D107" s="4">
        <v>21990</v>
      </c>
      <c r="E107" s="4">
        <v>22900</v>
      </c>
      <c r="F107" s="4">
        <v>21790</v>
      </c>
      <c r="G107" s="4">
        <v>21900</v>
      </c>
      <c r="H107" s="4">
        <v>22622</v>
      </c>
      <c r="I107" s="4">
        <v>22703</v>
      </c>
      <c r="J107" s="1">
        <f t="shared" si="9"/>
        <v>22317.5</v>
      </c>
      <c r="K107" s="9">
        <v>27694</v>
      </c>
      <c r="L107">
        <f t="shared" si="10"/>
        <v>0.100160458507081</v>
      </c>
      <c r="M107">
        <f t="shared" si="11"/>
        <v>0.082550205527983</v>
      </c>
      <c r="N107">
        <f t="shared" si="12"/>
        <v>0.104128457621615</v>
      </c>
      <c r="O107">
        <f t="shared" si="13"/>
        <v>0.101941573027753</v>
      </c>
      <c r="P107">
        <f t="shared" si="14"/>
        <v>0.0878546898174746</v>
      </c>
      <c r="Q107">
        <f t="shared" si="15"/>
        <v>0.0863024387205776</v>
      </c>
      <c r="R107">
        <f t="shared" si="16"/>
        <v>0.0938229705370806</v>
      </c>
      <c r="S107">
        <f t="shared" si="17"/>
        <v>0.00929012947942431</v>
      </c>
    </row>
    <row r="108" spans="3:19">
      <c r="C108">
        <v>200</v>
      </c>
      <c r="D108" s="4">
        <v>22617</v>
      </c>
      <c r="E108" s="4">
        <v>21637</v>
      </c>
      <c r="F108" s="4">
        <v>22205</v>
      </c>
      <c r="G108" s="4">
        <v>22047</v>
      </c>
      <c r="H108" s="4">
        <v>22203</v>
      </c>
      <c r="I108" s="4">
        <v>21696</v>
      </c>
      <c r="J108" s="1">
        <f t="shared" si="9"/>
        <v>22067.5</v>
      </c>
      <c r="K108" s="9">
        <v>27694</v>
      </c>
      <c r="L108">
        <f t="shared" si="10"/>
        <v>0.0879506898359701</v>
      </c>
      <c r="M108">
        <f t="shared" si="11"/>
        <v>0.107188642790309</v>
      </c>
      <c r="N108">
        <f t="shared" si="12"/>
        <v>0.0959349103581762</v>
      </c>
      <c r="O108">
        <f t="shared" si="13"/>
        <v>0.0990361857685613</v>
      </c>
      <c r="P108">
        <f t="shared" si="14"/>
        <v>0.09597402893881</v>
      </c>
      <c r="Q108">
        <f t="shared" si="15"/>
        <v>0.106006015680902</v>
      </c>
      <c r="R108">
        <f t="shared" si="16"/>
        <v>0.0986817455621214</v>
      </c>
      <c r="S108">
        <f t="shared" si="17"/>
        <v>0.00715779646303666</v>
      </c>
    </row>
    <row r="109" spans="3:19">
      <c r="C109">
        <v>250</v>
      </c>
      <c r="D109" s="4">
        <v>22524</v>
      </c>
      <c r="E109" s="4">
        <v>22761</v>
      </c>
      <c r="F109" s="4">
        <v>23492</v>
      </c>
      <c r="G109" s="4">
        <v>22363</v>
      </c>
      <c r="H109" s="4">
        <v>22135</v>
      </c>
      <c r="I109" s="4">
        <v>22203</v>
      </c>
      <c r="J109" s="1">
        <f t="shared" si="9"/>
        <v>22579.6666666667</v>
      </c>
      <c r="K109" s="9">
        <v>27694</v>
      </c>
      <c r="L109">
        <f t="shared" si="10"/>
        <v>0.0897401691988998</v>
      </c>
      <c r="M109">
        <f t="shared" si="11"/>
        <v>0.0851943490841413</v>
      </c>
      <c r="N109">
        <f t="shared" si="12"/>
        <v>0.0714656956969515</v>
      </c>
      <c r="O109">
        <f t="shared" si="13"/>
        <v>0.0928556240716073</v>
      </c>
      <c r="P109">
        <f t="shared" si="14"/>
        <v>0.0973061615530042</v>
      </c>
      <c r="Q109">
        <f t="shared" si="15"/>
        <v>0.09597402893881</v>
      </c>
      <c r="R109">
        <f t="shared" si="16"/>
        <v>0.0887560047572357</v>
      </c>
      <c r="S109">
        <f t="shared" si="17"/>
        <v>0.00953541494663819</v>
      </c>
    </row>
    <row r="110" spans="3:19">
      <c r="C110">
        <v>300</v>
      </c>
      <c r="D110" s="4">
        <v>21736</v>
      </c>
      <c r="E110" s="4">
        <v>21609</v>
      </c>
      <c r="F110" s="4">
        <v>21371</v>
      </c>
      <c r="G110" s="4">
        <v>21503</v>
      </c>
      <c r="H110" s="4">
        <v>21898</v>
      </c>
      <c r="I110" s="4">
        <v>21973</v>
      </c>
      <c r="J110" s="1">
        <f t="shared" si="9"/>
        <v>21681.6666666667</v>
      </c>
      <c r="K110" s="9">
        <v>27694</v>
      </c>
      <c r="L110">
        <f t="shared" si="10"/>
        <v>0.105206062458037</v>
      </c>
      <c r="M110">
        <f t="shared" si="11"/>
        <v>0.107751018371519</v>
      </c>
      <c r="N110">
        <f t="shared" si="12"/>
        <v>0.112560843554952</v>
      </c>
      <c r="O110">
        <f t="shared" si="13"/>
        <v>0.109886632949693</v>
      </c>
      <c r="P110">
        <f t="shared" si="14"/>
        <v>0.101981236435415</v>
      </c>
      <c r="Q110">
        <f t="shared" si="15"/>
        <v>0.100496332153572</v>
      </c>
      <c r="R110">
        <f t="shared" si="16"/>
        <v>0.106313687653865</v>
      </c>
      <c r="S110">
        <f t="shared" si="17"/>
        <v>0.00464106467705093</v>
      </c>
    </row>
    <row r="111" spans="3:19">
      <c r="C111">
        <v>350</v>
      </c>
      <c r="D111" s="4">
        <v>21634</v>
      </c>
      <c r="E111" s="4">
        <v>21618</v>
      </c>
      <c r="F111" s="4">
        <v>22129</v>
      </c>
      <c r="G111" s="4">
        <v>21864</v>
      </c>
      <c r="H111" s="4">
        <v>21734</v>
      </c>
      <c r="I111" s="4">
        <v>22502</v>
      </c>
      <c r="J111" s="1">
        <f t="shared" si="9"/>
        <v>21913.5</v>
      </c>
      <c r="K111" s="9">
        <v>27694</v>
      </c>
      <c r="L111">
        <f t="shared" si="10"/>
        <v>0.107248862496246</v>
      </c>
      <c r="M111">
        <f t="shared" si="11"/>
        <v>0.107570175361659</v>
      </c>
      <c r="N111">
        <f t="shared" si="12"/>
        <v>0.0974238990781885</v>
      </c>
      <c r="O111">
        <f t="shared" si="13"/>
        <v>0.102656069183267</v>
      </c>
      <c r="P111">
        <f t="shared" si="14"/>
        <v>0.10524602514331</v>
      </c>
      <c r="Q111">
        <f t="shared" si="15"/>
        <v>0.0901645675181911</v>
      </c>
      <c r="R111">
        <f t="shared" si="16"/>
        <v>0.101718266463477</v>
      </c>
      <c r="S111">
        <f t="shared" si="17"/>
        <v>0.00678360429318829</v>
      </c>
    </row>
    <row r="112" spans="3:19">
      <c r="C112">
        <v>400</v>
      </c>
      <c r="D112" s="4">
        <v>21639</v>
      </c>
      <c r="E112" s="4">
        <v>21337</v>
      </c>
      <c r="F112" s="4">
        <v>21526</v>
      </c>
      <c r="G112" s="4">
        <v>21381</v>
      </c>
      <c r="H112" s="4">
        <v>21473</v>
      </c>
      <c r="I112" s="4">
        <v>22397</v>
      </c>
      <c r="J112" s="1">
        <f t="shared" si="9"/>
        <v>21625.5</v>
      </c>
      <c r="K112" s="9">
        <v>27694</v>
      </c>
      <c r="L112">
        <f t="shared" si="10"/>
        <v>0.107148500958142</v>
      </c>
      <c r="M112">
        <f t="shared" si="11"/>
        <v>0.113252330653584</v>
      </c>
      <c r="N112">
        <f t="shared" si="12"/>
        <v>0.109422351928284</v>
      </c>
      <c r="O112">
        <f t="shared" si="13"/>
        <v>0.112357674351255</v>
      </c>
      <c r="P112">
        <f t="shared" si="14"/>
        <v>0.110492963765654</v>
      </c>
      <c r="Q112">
        <f t="shared" si="15"/>
        <v>0.0921958378685367</v>
      </c>
      <c r="R112">
        <f t="shared" si="16"/>
        <v>0.107478276587576</v>
      </c>
      <c r="S112">
        <f t="shared" si="17"/>
        <v>0.00779330065854463</v>
      </c>
    </row>
    <row r="113" spans="3:19">
      <c r="C113">
        <v>450</v>
      </c>
      <c r="D113" s="4">
        <v>21522</v>
      </c>
      <c r="E113" s="4">
        <v>21566</v>
      </c>
      <c r="F113" s="4">
        <v>21381</v>
      </c>
      <c r="G113" s="4">
        <v>21702</v>
      </c>
      <c r="H113" s="4">
        <v>21558</v>
      </c>
      <c r="I113" s="4">
        <v>21506</v>
      </c>
      <c r="J113" s="1">
        <f t="shared" si="9"/>
        <v>21539.1666666667</v>
      </c>
      <c r="K113" s="9">
        <v>27694</v>
      </c>
      <c r="L113">
        <f t="shared" si="10"/>
        <v>0.109503060808261</v>
      </c>
      <c r="M113">
        <f t="shared" si="11"/>
        <v>0.108616086994396</v>
      </c>
      <c r="N113">
        <f t="shared" si="12"/>
        <v>0.112357674351255</v>
      </c>
      <c r="O113">
        <f t="shared" si="13"/>
        <v>0.105885928722608</v>
      </c>
      <c r="P113">
        <f t="shared" si="14"/>
        <v>0.108777220279578</v>
      </c>
      <c r="Q113">
        <f t="shared" si="15"/>
        <v>0.109826046400467</v>
      </c>
      <c r="R113">
        <f t="shared" si="16"/>
        <v>0.109161002926094</v>
      </c>
      <c r="S113">
        <f t="shared" si="17"/>
        <v>0.00209515288934842</v>
      </c>
    </row>
    <row r="114" spans="3:19">
      <c r="C114">
        <v>500</v>
      </c>
      <c r="D114" s="4">
        <v>21355</v>
      </c>
      <c r="E114" s="4">
        <v>21130</v>
      </c>
      <c r="F114" s="4">
        <v>21063</v>
      </c>
      <c r="G114" s="4">
        <v>21207</v>
      </c>
      <c r="H114" s="4">
        <v>22341</v>
      </c>
      <c r="I114" s="4">
        <v>22178</v>
      </c>
      <c r="J114" s="1">
        <f t="shared" si="9"/>
        <v>21545.6666666667</v>
      </c>
      <c r="K114" s="9">
        <v>27694</v>
      </c>
      <c r="L114">
        <f t="shared" si="10"/>
        <v>0.112886112105028</v>
      </c>
      <c r="M114">
        <f t="shared" si="11"/>
        <v>0.117486190815558</v>
      </c>
      <c r="N114">
        <f t="shared" si="12"/>
        <v>0.118865460113534</v>
      </c>
      <c r="O114">
        <f t="shared" si="13"/>
        <v>0.11590645148691</v>
      </c>
      <c r="P114">
        <f t="shared" si="14"/>
        <v>0.0932830793048392</v>
      </c>
      <c r="Q114">
        <f t="shared" si="15"/>
        <v>0.0964633087295299</v>
      </c>
      <c r="R114">
        <f t="shared" si="16"/>
        <v>0.109148433759233</v>
      </c>
      <c r="S114">
        <f t="shared" si="17"/>
        <v>0.0112800860449505</v>
      </c>
    </row>
    <row r="115" spans="10:10">
      <c r="J115" s="1"/>
    </row>
    <row r="116" spans="10:10">
      <c r="J116" s="1"/>
    </row>
    <row r="117" spans="3:19">
      <c r="C117" t="s">
        <v>0</v>
      </c>
      <c r="D117" s="4">
        <v>8949</v>
      </c>
      <c r="E117" s="4">
        <v>9332</v>
      </c>
      <c r="F117" s="4">
        <v>8973</v>
      </c>
      <c r="G117" s="4">
        <v>8988</v>
      </c>
      <c r="H117" s="4">
        <v>9158</v>
      </c>
      <c r="I117" s="4">
        <v>9344</v>
      </c>
      <c r="J117" s="1">
        <f t="shared" si="9"/>
        <v>9124</v>
      </c>
      <c r="K117" s="9">
        <v>11712</v>
      </c>
      <c r="L117">
        <f t="shared" si="10"/>
        <v>0.116856555632592</v>
      </c>
      <c r="M117">
        <f t="shared" si="11"/>
        <v>0.0986563335926017</v>
      </c>
      <c r="N117">
        <f t="shared" si="12"/>
        <v>0.115693395963336</v>
      </c>
      <c r="O117">
        <f t="shared" si="13"/>
        <v>0.114967999967225</v>
      </c>
      <c r="P117">
        <f t="shared" si="14"/>
        <v>0.106830424522638</v>
      </c>
      <c r="Q117">
        <f t="shared" si="15"/>
        <v>0.0980982339459923</v>
      </c>
      <c r="R117">
        <f t="shared" si="16"/>
        <v>0.108517157270731</v>
      </c>
      <c r="S117">
        <f t="shared" si="17"/>
        <v>0.00861733383973705</v>
      </c>
    </row>
    <row r="118" spans="3:19">
      <c r="C118">
        <v>20</v>
      </c>
      <c r="D118" s="4">
        <v>9620</v>
      </c>
      <c r="E118" s="4">
        <v>9246</v>
      </c>
      <c r="F118" s="4">
        <v>9304</v>
      </c>
      <c r="G118" s="4">
        <v>9344</v>
      </c>
      <c r="H118" s="4">
        <v>9519</v>
      </c>
      <c r="I118" s="4">
        <v>9278</v>
      </c>
      <c r="J118" s="1">
        <f t="shared" si="9"/>
        <v>9385.16666666667</v>
      </c>
      <c r="K118" s="9">
        <v>11712</v>
      </c>
      <c r="L118">
        <f t="shared" si="10"/>
        <v>0.0854559916765037</v>
      </c>
      <c r="M118">
        <f t="shared" si="11"/>
        <v>0.102677174612254</v>
      </c>
      <c r="N118">
        <f t="shared" si="12"/>
        <v>0.0999613619939247</v>
      </c>
      <c r="O118">
        <f t="shared" si="13"/>
        <v>0.0980982339459923</v>
      </c>
      <c r="P118">
        <f t="shared" si="14"/>
        <v>0.090039736894242</v>
      </c>
      <c r="Q118">
        <f t="shared" si="15"/>
        <v>0.101176695531576</v>
      </c>
      <c r="R118">
        <f t="shared" si="16"/>
        <v>0.0962348657757487</v>
      </c>
      <c r="S118">
        <f t="shared" si="17"/>
        <v>0.00689706732152586</v>
      </c>
    </row>
    <row r="119" spans="3:19">
      <c r="C119">
        <v>40</v>
      </c>
      <c r="D119" s="4">
        <v>9436</v>
      </c>
      <c r="E119" s="4">
        <v>9729</v>
      </c>
      <c r="F119" s="4">
        <v>9209</v>
      </c>
      <c r="G119" s="4">
        <v>9456</v>
      </c>
      <c r="H119" s="4">
        <v>9430</v>
      </c>
      <c r="I119" s="4">
        <v>9490</v>
      </c>
      <c r="J119" s="1">
        <f t="shared" si="9"/>
        <v>9458.33333333333</v>
      </c>
      <c r="K119" s="9">
        <v>11712</v>
      </c>
      <c r="L119">
        <f t="shared" si="10"/>
        <v>0.0938431315007588</v>
      </c>
      <c r="M119">
        <f t="shared" si="11"/>
        <v>0.0805628603216814</v>
      </c>
      <c r="N119">
        <f t="shared" si="12"/>
        <v>0.104418590744497</v>
      </c>
      <c r="O119">
        <f t="shared" si="13"/>
        <v>0.0929236001771365</v>
      </c>
      <c r="P119">
        <f t="shared" si="14"/>
        <v>0.0941193709769883</v>
      </c>
      <c r="Q119">
        <f t="shared" si="15"/>
        <v>0.091364851287024</v>
      </c>
      <c r="R119">
        <f t="shared" si="16"/>
        <v>0.0928720675013477</v>
      </c>
      <c r="S119">
        <f t="shared" si="17"/>
        <v>0.00761067497638989</v>
      </c>
    </row>
    <row r="120" spans="3:19">
      <c r="C120">
        <v>60</v>
      </c>
      <c r="D120" s="4">
        <v>9278</v>
      </c>
      <c r="E120" s="4">
        <v>9325</v>
      </c>
      <c r="F120" s="4">
        <v>9212</v>
      </c>
      <c r="G120" s="4">
        <v>9483</v>
      </c>
      <c r="H120" s="4">
        <v>9353</v>
      </c>
      <c r="I120" s="4">
        <v>9468</v>
      </c>
      <c r="J120" s="1">
        <f t="shared" si="9"/>
        <v>9353.16666666667</v>
      </c>
      <c r="K120" s="9">
        <v>11712</v>
      </c>
      <c r="L120">
        <f t="shared" si="10"/>
        <v>0.101176695531576</v>
      </c>
      <c r="M120">
        <f t="shared" si="11"/>
        <v>0.0989822232335914</v>
      </c>
      <c r="N120">
        <f t="shared" si="12"/>
        <v>0.104277134422123</v>
      </c>
      <c r="O120">
        <f t="shared" si="13"/>
        <v>0.0916853131550745</v>
      </c>
      <c r="P120">
        <f t="shared" si="14"/>
        <v>0.0976801293688925</v>
      </c>
      <c r="Q120">
        <f t="shared" si="15"/>
        <v>0.0923728144572715</v>
      </c>
      <c r="R120">
        <f t="shared" si="16"/>
        <v>0.0976957183614215</v>
      </c>
      <c r="S120">
        <f t="shared" si="17"/>
        <v>0.00493043312384014</v>
      </c>
    </row>
    <row r="121" spans="3:19">
      <c r="C121">
        <v>80</v>
      </c>
      <c r="D121" s="4">
        <v>9233</v>
      </c>
      <c r="E121" s="4">
        <v>9370</v>
      </c>
      <c r="F121" s="4">
        <v>9441</v>
      </c>
      <c r="G121" s="4">
        <v>9261</v>
      </c>
      <c r="H121" s="4">
        <v>9336</v>
      </c>
      <c r="I121" s="4">
        <v>9187</v>
      </c>
      <c r="J121" s="1">
        <f t="shared" si="9"/>
        <v>9304.66666666667</v>
      </c>
      <c r="K121" s="9">
        <v>11712</v>
      </c>
      <c r="L121">
        <f t="shared" si="10"/>
        <v>0.103288228153695</v>
      </c>
      <c r="M121">
        <f t="shared" si="11"/>
        <v>0.0968914728265383</v>
      </c>
      <c r="N121">
        <f t="shared" si="12"/>
        <v>0.0936130660814339</v>
      </c>
      <c r="O121">
        <f t="shared" si="13"/>
        <v>0.101973179512559</v>
      </c>
      <c r="P121">
        <f t="shared" si="14"/>
        <v>0.0984702206770029</v>
      </c>
      <c r="Q121">
        <f t="shared" si="15"/>
        <v>0.105457347339065</v>
      </c>
      <c r="R121">
        <f t="shared" si="16"/>
        <v>0.0999489190983822</v>
      </c>
      <c r="S121">
        <f t="shared" si="17"/>
        <v>0.00441064523744585</v>
      </c>
    </row>
    <row r="122" spans="3:19">
      <c r="C122">
        <v>100</v>
      </c>
      <c r="D122" s="4">
        <v>9285</v>
      </c>
      <c r="E122" s="4">
        <v>9188</v>
      </c>
      <c r="F122" s="4">
        <v>9474</v>
      </c>
      <c r="G122" s="4">
        <v>9185</v>
      </c>
      <c r="H122" s="4">
        <v>9170</v>
      </c>
      <c r="I122" s="4">
        <v>9078</v>
      </c>
      <c r="J122" s="1">
        <f t="shared" si="9"/>
        <v>9230</v>
      </c>
      <c r="K122" s="9">
        <v>11712</v>
      </c>
      <c r="L122">
        <f t="shared" si="10"/>
        <v>0.100849155638517</v>
      </c>
      <c r="M122">
        <f t="shared" si="11"/>
        <v>0.105410077191328</v>
      </c>
      <c r="N122">
        <f t="shared" si="12"/>
        <v>0.0920976833223788</v>
      </c>
      <c r="O122">
        <f t="shared" si="13"/>
        <v>0.10555190307249</v>
      </c>
      <c r="P122">
        <f t="shared" si="14"/>
        <v>0.106261728044296</v>
      </c>
      <c r="Q122">
        <f t="shared" si="15"/>
        <v>0.110640885307486</v>
      </c>
      <c r="R122">
        <f t="shared" si="16"/>
        <v>0.103468572096083</v>
      </c>
      <c r="S122">
        <f t="shared" si="17"/>
        <v>0.00637984264739721</v>
      </c>
    </row>
    <row r="123" spans="3:19">
      <c r="C123">
        <v>120</v>
      </c>
      <c r="D123" s="4">
        <v>9666</v>
      </c>
      <c r="E123" s="4">
        <v>9270</v>
      </c>
      <c r="F123" s="4">
        <v>9192</v>
      </c>
      <c r="G123" s="4">
        <v>9244</v>
      </c>
      <c r="H123" s="4">
        <v>9538</v>
      </c>
      <c r="I123" s="4">
        <v>9853</v>
      </c>
      <c r="J123" s="1">
        <f t="shared" si="9"/>
        <v>9460.5</v>
      </c>
      <c r="K123" s="9">
        <v>11712</v>
      </c>
      <c r="L123">
        <f t="shared" si="10"/>
        <v>0.083384272911455</v>
      </c>
      <c r="M123">
        <f t="shared" si="11"/>
        <v>0.10155132956982</v>
      </c>
      <c r="N123">
        <f t="shared" si="12"/>
        <v>0.105221048034088</v>
      </c>
      <c r="O123">
        <f t="shared" si="13"/>
        <v>0.102771126907245</v>
      </c>
      <c r="P123">
        <f t="shared" si="14"/>
        <v>0.0891737456164683</v>
      </c>
      <c r="Q123">
        <f t="shared" si="15"/>
        <v>0.0750625809245892</v>
      </c>
      <c r="R123">
        <f t="shared" si="16"/>
        <v>0.0928606839939441</v>
      </c>
      <c r="S123">
        <f t="shared" si="17"/>
        <v>0.012220402226925</v>
      </c>
    </row>
    <row r="124" spans="2:19">
      <c r="B124" s="15" t="s">
        <v>30</v>
      </c>
      <c r="C124">
        <v>140</v>
      </c>
      <c r="D124" s="4">
        <v>9217</v>
      </c>
      <c r="E124" s="4">
        <v>9282</v>
      </c>
      <c r="F124" s="4">
        <v>8903</v>
      </c>
      <c r="G124" s="4">
        <v>9320</v>
      </c>
      <c r="H124" s="4">
        <v>9152</v>
      </c>
      <c r="I124" s="4">
        <v>9202</v>
      </c>
      <c r="J124" s="1">
        <f t="shared" si="9"/>
        <v>9179.33333333333</v>
      </c>
      <c r="K124" s="9">
        <v>11712</v>
      </c>
      <c r="L124">
        <f t="shared" si="10"/>
        <v>0.104041476224413</v>
      </c>
      <c r="M124">
        <f t="shared" si="11"/>
        <v>0.100989499631305</v>
      </c>
      <c r="N124">
        <f t="shared" si="12"/>
        <v>0.119094690338174</v>
      </c>
      <c r="O124">
        <f t="shared" si="13"/>
        <v>0.0992151513603353</v>
      </c>
      <c r="P124">
        <f t="shared" si="14"/>
        <v>0.107115052265368</v>
      </c>
      <c r="Q124">
        <f t="shared" si="15"/>
        <v>0.104748834785539</v>
      </c>
      <c r="R124">
        <f t="shared" si="16"/>
        <v>0.105867450767523</v>
      </c>
      <c r="S124">
        <f t="shared" si="17"/>
        <v>0.00705902763267366</v>
      </c>
    </row>
    <row r="125" spans="3:19">
      <c r="C125">
        <v>160</v>
      </c>
      <c r="D125" s="4">
        <v>8842</v>
      </c>
      <c r="E125" s="4">
        <v>9118</v>
      </c>
      <c r="F125" s="4">
        <v>8995</v>
      </c>
      <c r="G125" s="4">
        <v>9056</v>
      </c>
      <c r="H125" s="4">
        <v>8840</v>
      </c>
      <c r="I125" s="4">
        <v>9055</v>
      </c>
      <c r="J125" s="1">
        <f t="shared" si="9"/>
        <v>8984.33333333333</v>
      </c>
      <c r="K125" s="9">
        <v>11712</v>
      </c>
      <c r="L125">
        <f t="shared" si="10"/>
        <v>0.122080553144461</v>
      </c>
      <c r="M125">
        <f t="shared" si="11"/>
        <v>0.108731475848373</v>
      </c>
      <c r="N125">
        <f t="shared" si="12"/>
        <v>0.114629896032746</v>
      </c>
      <c r="O125">
        <f t="shared" si="13"/>
        <v>0.11169464987012</v>
      </c>
      <c r="P125">
        <f t="shared" si="14"/>
        <v>0.122178798701244</v>
      </c>
      <c r="Q125">
        <f t="shared" si="15"/>
        <v>0.111742609064239</v>
      </c>
      <c r="R125">
        <f t="shared" si="16"/>
        <v>0.115176330443531</v>
      </c>
      <c r="S125">
        <f t="shared" si="17"/>
        <v>0.00570000239031881</v>
      </c>
    </row>
    <row r="126" spans="3:19">
      <c r="C126">
        <v>180</v>
      </c>
      <c r="D126" s="4">
        <v>8772</v>
      </c>
      <c r="E126" s="4">
        <v>9158</v>
      </c>
      <c r="F126" s="4">
        <v>8658</v>
      </c>
      <c r="G126" s="4">
        <v>8707</v>
      </c>
      <c r="H126" s="4">
        <v>9035</v>
      </c>
      <c r="I126" s="4">
        <v>9081</v>
      </c>
      <c r="J126" s="1">
        <f t="shared" si="9"/>
        <v>8901.83333333333</v>
      </c>
      <c r="K126" s="9">
        <v>11712</v>
      </c>
      <c r="L126">
        <f t="shared" si="10"/>
        <v>0.125532440708831</v>
      </c>
      <c r="M126">
        <f t="shared" si="11"/>
        <v>0.106830424522638</v>
      </c>
      <c r="N126">
        <f t="shared" si="12"/>
        <v>0.131213482237179</v>
      </c>
      <c r="O126">
        <f t="shared" si="13"/>
        <v>0.128762519254807</v>
      </c>
      <c r="P126">
        <f t="shared" si="14"/>
        <v>0.112702906817366</v>
      </c>
      <c r="Q126">
        <f t="shared" si="15"/>
        <v>0.110497388038081</v>
      </c>
      <c r="R126">
        <f t="shared" si="16"/>
        <v>0.119256526929817</v>
      </c>
      <c r="S126">
        <f t="shared" si="17"/>
        <v>0.010457535424787</v>
      </c>
    </row>
    <row r="127" spans="3:19">
      <c r="C127">
        <v>200</v>
      </c>
      <c r="D127" s="4">
        <v>9036</v>
      </c>
      <c r="E127" s="4">
        <v>8586</v>
      </c>
      <c r="F127" s="4">
        <v>8832</v>
      </c>
      <c r="G127" s="4">
        <v>8796</v>
      </c>
      <c r="H127" s="4">
        <v>8837</v>
      </c>
      <c r="I127" s="4">
        <v>8603</v>
      </c>
      <c r="J127" s="1">
        <f t="shared" si="9"/>
        <v>8781.66666666667</v>
      </c>
      <c r="K127" s="9">
        <v>11712</v>
      </c>
      <c r="L127">
        <f t="shared" si="10"/>
        <v>0.112654841465991</v>
      </c>
      <c r="M127">
        <f t="shared" si="11"/>
        <v>0.134840179570897</v>
      </c>
      <c r="N127">
        <f t="shared" si="12"/>
        <v>0.122572003329193</v>
      </c>
      <c r="O127">
        <f t="shared" si="13"/>
        <v>0.124345843025564</v>
      </c>
      <c r="P127">
        <f t="shared" si="14"/>
        <v>0.122326208720842</v>
      </c>
      <c r="Q127">
        <f t="shared" si="15"/>
        <v>0.133981140813606</v>
      </c>
      <c r="R127">
        <f t="shared" si="16"/>
        <v>0.125120036154349</v>
      </c>
      <c r="S127">
        <f t="shared" si="17"/>
        <v>0.00828587666389223</v>
      </c>
    </row>
    <row r="128" spans="3:19">
      <c r="C128">
        <v>250</v>
      </c>
      <c r="D128" s="4">
        <v>9024</v>
      </c>
      <c r="E128" s="4">
        <v>9109</v>
      </c>
      <c r="F128" s="4">
        <v>9455</v>
      </c>
      <c r="G128" s="4">
        <v>8917</v>
      </c>
      <c r="H128" s="4">
        <v>8831</v>
      </c>
      <c r="I128" s="4">
        <v>8869</v>
      </c>
      <c r="J128" s="1">
        <f t="shared" si="9"/>
        <v>9034.16666666667</v>
      </c>
      <c r="K128" s="9">
        <v>11712</v>
      </c>
      <c r="L128">
        <f t="shared" si="10"/>
        <v>0.11323197707505</v>
      </c>
      <c r="M128">
        <f t="shared" si="11"/>
        <v>0.10916036163921</v>
      </c>
      <c r="N128">
        <f t="shared" si="12"/>
        <v>0.0929695305332581</v>
      </c>
      <c r="O128">
        <f t="shared" si="13"/>
        <v>0.118412297072453</v>
      </c>
      <c r="P128">
        <f t="shared" si="14"/>
        <v>0.122621178948552</v>
      </c>
      <c r="Q128">
        <f t="shared" si="15"/>
        <v>0.120756408816618</v>
      </c>
      <c r="R128">
        <f t="shared" si="16"/>
        <v>0.112858625680857</v>
      </c>
      <c r="S128">
        <f t="shared" si="17"/>
        <v>0.0109354318128317</v>
      </c>
    </row>
    <row r="129" spans="3:19">
      <c r="C129">
        <v>300</v>
      </c>
      <c r="D129" s="4">
        <v>8628</v>
      </c>
      <c r="E129" s="4">
        <v>8589</v>
      </c>
      <c r="F129" s="4">
        <v>8477</v>
      </c>
      <c r="G129" s="4">
        <v>8504</v>
      </c>
      <c r="H129" s="4">
        <v>8696</v>
      </c>
      <c r="I129" s="4">
        <v>8780</v>
      </c>
      <c r="J129" s="1">
        <f t="shared" si="9"/>
        <v>8612.33333333333</v>
      </c>
      <c r="K129" s="9">
        <v>11712</v>
      </c>
      <c r="L129">
        <f t="shared" si="10"/>
        <v>0.132720927283809</v>
      </c>
      <c r="M129">
        <f t="shared" si="11"/>
        <v>0.134688460973056</v>
      </c>
      <c r="N129">
        <f t="shared" si="12"/>
        <v>0.140388880557008</v>
      </c>
      <c r="O129">
        <f t="shared" si="13"/>
        <v>0.139007812199076</v>
      </c>
      <c r="P129">
        <f t="shared" si="14"/>
        <v>0.129311532636079</v>
      </c>
      <c r="Q129">
        <f t="shared" si="15"/>
        <v>0.125136547808214</v>
      </c>
      <c r="R129">
        <f t="shared" si="16"/>
        <v>0.133542360242874</v>
      </c>
      <c r="S129">
        <f t="shared" si="17"/>
        <v>0.00578432173054829</v>
      </c>
    </row>
    <row r="130" spans="3:19">
      <c r="C130">
        <v>350</v>
      </c>
      <c r="D130" s="4">
        <v>8576</v>
      </c>
      <c r="E130" s="4">
        <v>8570</v>
      </c>
      <c r="F130" s="4">
        <v>8803</v>
      </c>
      <c r="G130" s="4">
        <v>8633</v>
      </c>
      <c r="H130" s="4">
        <v>8617</v>
      </c>
      <c r="I130" s="4">
        <v>8979</v>
      </c>
      <c r="J130" s="1">
        <f t="shared" si="9"/>
        <v>8696.33333333333</v>
      </c>
      <c r="K130" s="9">
        <v>11712</v>
      </c>
      <c r="L130">
        <f t="shared" si="10"/>
        <v>0.135346291365622</v>
      </c>
      <c r="M130">
        <f t="shared" si="11"/>
        <v>0.135650241791119</v>
      </c>
      <c r="N130">
        <f t="shared" si="12"/>
        <v>0.124000361858038</v>
      </c>
      <c r="O130">
        <f t="shared" si="13"/>
        <v>0.132469322803159</v>
      </c>
      <c r="P130">
        <f t="shared" si="14"/>
        <v>0.133274970768744</v>
      </c>
      <c r="Q130">
        <f t="shared" si="15"/>
        <v>0.115403092154463</v>
      </c>
      <c r="R130">
        <f t="shared" si="16"/>
        <v>0.129357380123524</v>
      </c>
      <c r="S130">
        <f t="shared" si="17"/>
        <v>0.00804883428774981</v>
      </c>
    </row>
    <row r="131" spans="3:19">
      <c r="C131">
        <v>400</v>
      </c>
      <c r="D131" s="4">
        <v>8620</v>
      </c>
      <c r="E131" s="4">
        <v>8469</v>
      </c>
      <c r="F131" s="4">
        <v>8517</v>
      </c>
      <c r="G131" s="4">
        <v>8477</v>
      </c>
      <c r="H131" s="4">
        <v>8523</v>
      </c>
      <c r="I131" s="4">
        <v>8934</v>
      </c>
      <c r="J131" s="1">
        <f t="shared" si="9"/>
        <v>8590</v>
      </c>
      <c r="K131" s="9">
        <v>11712</v>
      </c>
      <c r="L131">
        <f t="shared" si="10"/>
        <v>0.133123797889604</v>
      </c>
      <c r="M131">
        <f t="shared" si="11"/>
        <v>0.140798930847735</v>
      </c>
      <c r="N131">
        <f t="shared" si="12"/>
        <v>0.138344416468797</v>
      </c>
      <c r="O131">
        <f t="shared" si="13"/>
        <v>0.140388880557008</v>
      </c>
      <c r="P131">
        <f t="shared" si="14"/>
        <v>0.138038575271718</v>
      </c>
      <c r="Q131">
        <f t="shared" si="15"/>
        <v>0.117585115578497</v>
      </c>
      <c r="R131">
        <f t="shared" si="16"/>
        <v>0.134713286102226</v>
      </c>
      <c r="S131">
        <f t="shared" si="17"/>
        <v>0.0088248603212909</v>
      </c>
    </row>
    <row r="132" spans="3:19">
      <c r="C132">
        <v>450</v>
      </c>
      <c r="D132" s="4">
        <v>8532</v>
      </c>
      <c r="E132" s="4">
        <v>8545</v>
      </c>
      <c r="F132" s="4">
        <v>8434</v>
      </c>
      <c r="G132" s="4">
        <v>8627</v>
      </c>
      <c r="H132" s="4">
        <v>8564</v>
      </c>
      <c r="I132" s="4">
        <v>8530</v>
      </c>
      <c r="J132" s="1">
        <f t="shared" ref="J132:J203" si="18">AVERAGE(D132:I132)</f>
        <v>8538.66666666667</v>
      </c>
      <c r="K132" s="9">
        <v>11712</v>
      </c>
      <c r="L132">
        <f t="shared" ref="L132:L203" si="19">LOG10(K132/D132)</f>
        <v>0.137580216936925</v>
      </c>
      <c r="M132">
        <f t="shared" ref="M132:M203" si="20">LOG10(K132/E132)</f>
        <v>0.136918996657561</v>
      </c>
      <c r="N132">
        <f t="shared" ref="N132:N203" si="21">LOG10(K132/F132)</f>
        <v>0.142597467035472</v>
      </c>
      <c r="O132">
        <f t="shared" ref="O132:O203" si="22">LOG10(K132/G132)</f>
        <v>0.132771265676436</v>
      </c>
      <c r="P132">
        <f t="shared" ref="P132:P203" si="23">LOG10(K132/H132)</f>
        <v>0.135954405091916</v>
      </c>
      <c r="Q132">
        <f t="shared" ref="Q132:Q203" si="24">LOG10(K132/I132)</f>
        <v>0.137682032546794</v>
      </c>
      <c r="R132">
        <f t="shared" ref="R132:R203" si="25">AVERAGE(L132:Q132)</f>
        <v>0.137250730657517</v>
      </c>
      <c r="S132">
        <f t="shared" ref="S132:S203" si="26">STDEV(L132:Q132)</f>
        <v>0.00318553877260493</v>
      </c>
    </row>
    <row r="133" spans="3:19">
      <c r="C133">
        <v>500</v>
      </c>
      <c r="D133" s="4">
        <v>8455</v>
      </c>
      <c r="E133" s="4">
        <v>8346</v>
      </c>
      <c r="F133" s="4">
        <v>8362</v>
      </c>
      <c r="G133" s="4">
        <v>8397</v>
      </c>
      <c r="H133" s="4">
        <v>8913</v>
      </c>
      <c r="I133" s="4">
        <v>8782</v>
      </c>
      <c r="J133" s="1">
        <f t="shared" si="18"/>
        <v>8542.5</v>
      </c>
      <c r="K133" s="9">
        <v>11712</v>
      </c>
      <c r="L133">
        <f t="shared" si="19"/>
        <v>0.141517451780556</v>
      </c>
      <c r="M133">
        <f t="shared" si="20"/>
        <v>0.147152683338627</v>
      </c>
      <c r="N133">
        <f t="shared" si="21"/>
        <v>0.146320900499921</v>
      </c>
      <c r="O133">
        <f t="shared" si="22"/>
        <v>0.144506910528492</v>
      </c>
      <c r="P133">
        <f t="shared" si="23"/>
        <v>0.11860715719099</v>
      </c>
      <c r="Q133">
        <f t="shared" si="24"/>
        <v>0.125037630945948</v>
      </c>
      <c r="R133">
        <f t="shared" si="25"/>
        <v>0.137190455714089</v>
      </c>
      <c r="S133">
        <f t="shared" si="26"/>
        <v>0.012230245631911</v>
      </c>
    </row>
    <row r="134" spans="10:10">
      <c r="J134" s="1"/>
    </row>
    <row r="135" spans="10:10">
      <c r="J135" s="1"/>
    </row>
    <row r="136" spans="3:19">
      <c r="C136" t="s">
        <v>0</v>
      </c>
      <c r="D136" s="4">
        <v>20448</v>
      </c>
      <c r="E136" s="4">
        <v>21171</v>
      </c>
      <c r="F136" s="4">
        <v>20454</v>
      </c>
      <c r="G136" s="4">
        <v>20534</v>
      </c>
      <c r="H136" s="4">
        <v>20833</v>
      </c>
      <c r="I136" s="4">
        <v>21202</v>
      </c>
      <c r="J136" s="1">
        <f t="shared" si="18"/>
        <v>20773.6666666667</v>
      </c>
      <c r="K136" s="9">
        <v>25520</v>
      </c>
      <c r="L136">
        <f t="shared" si="19"/>
        <v>0.0962298335708185</v>
      </c>
      <c r="M136">
        <f t="shared" si="20"/>
        <v>0.0811392978953284</v>
      </c>
      <c r="N136">
        <f t="shared" si="21"/>
        <v>0.0961024184365899</v>
      </c>
      <c r="O136">
        <f t="shared" si="22"/>
        <v>0.0944071123630688</v>
      </c>
      <c r="P136">
        <f t="shared" si="23"/>
        <v>0.0881288561920127</v>
      </c>
      <c r="Q136">
        <f t="shared" si="24"/>
        <v>0.0805038398753164</v>
      </c>
      <c r="R136">
        <f t="shared" si="25"/>
        <v>0.0894185597221891</v>
      </c>
      <c r="S136">
        <f t="shared" si="26"/>
        <v>0.00728882456569798</v>
      </c>
    </row>
    <row r="137" spans="3:19">
      <c r="C137">
        <v>20</v>
      </c>
      <c r="D137" s="4">
        <v>21827</v>
      </c>
      <c r="E137" s="4">
        <v>21059</v>
      </c>
      <c r="F137" s="4">
        <v>21220</v>
      </c>
      <c r="G137" s="4">
        <v>21270</v>
      </c>
      <c r="H137" s="4">
        <v>21615</v>
      </c>
      <c r="I137" s="4">
        <v>21144</v>
      </c>
      <c r="J137" s="1">
        <f t="shared" si="18"/>
        <v>21355.8333333333</v>
      </c>
      <c r="K137" s="9">
        <v>25520</v>
      </c>
      <c r="L137">
        <f t="shared" si="19"/>
        <v>0.0678866216042392</v>
      </c>
      <c r="M137">
        <f t="shared" si="20"/>
        <v>0.0834429254595389</v>
      </c>
      <c r="N137">
        <f t="shared" si="21"/>
        <v>0.0801352904838028</v>
      </c>
      <c r="O137">
        <f t="shared" si="22"/>
        <v>0.0791131801463957</v>
      </c>
      <c r="P137">
        <f t="shared" si="23"/>
        <v>0.0721254301794541</v>
      </c>
      <c r="Q137">
        <f t="shared" si="24"/>
        <v>0.0816935199254708</v>
      </c>
      <c r="R137">
        <f t="shared" si="25"/>
        <v>0.0773994946331503</v>
      </c>
      <c r="S137">
        <f t="shared" si="26"/>
        <v>0.00606124600169162</v>
      </c>
    </row>
    <row r="138" spans="3:19">
      <c r="C138">
        <v>40</v>
      </c>
      <c r="D138" s="4">
        <v>21495</v>
      </c>
      <c r="E138" s="4">
        <v>22048</v>
      </c>
      <c r="F138" s="4">
        <v>21033</v>
      </c>
      <c r="G138" s="4">
        <v>21469</v>
      </c>
      <c r="H138" s="4">
        <v>21456</v>
      </c>
      <c r="I138" s="4">
        <v>21588</v>
      </c>
      <c r="J138" s="1">
        <f t="shared" si="18"/>
        <v>21514.8333333333</v>
      </c>
      <c r="K138" s="9">
        <v>25520</v>
      </c>
      <c r="L138">
        <f t="shared" si="19"/>
        <v>0.074543220596099</v>
      </c>
      <c r="M138">
        <f t="shared" si="20"/>
        <v>0.0635114698215929</v>
      </c>
      <c r="N138">
        <f t="shared" si="21"/>
        <v>0.083979448217573</v>
      </c>
      <c r="O138">
        <f t="shared" si="22"/>
        <v>0.0750688540523824</v>
      </c>
      <c r="P138">
        <f t="shared" si="23"/>
        <v>0.075331909541601</v>
      </c>
      <c r="Q138">
        <f t="shared" si="24"/>
        <v>0.0726682606559485</v>
      </c>
      <c r="R138">
        <f t="shared" si="25"/>
        <v>0.0741838604808661</v>
      </c>
      <c r="S138">
        <f t="shared" si="26"/>
        <v>0.00654799013867391</v>
      </c>
    </row>
    <row r="139" spans="3:19">
      <c r="C139">
        <v>60</v>
      </c>
      <c r="D139" s="4">
        <v>21185</v>
      </c>
      <c r="E139" s="4">
        <v>21254</v>
      </c>
      <c r="F139" s="4">
        <v>21062</v>
      </c>
      <c r="G139" s="4">
        <v>21641</v>
      </c>
      <c r="H139" s="4">
        <v>21331</v>
      </c>
      <c r="I139" s="4">
        <v>21612</v>
      </c>
      <c r="J139" s="1">
        <f t="shared" si="18"/>
        <v>21347.5</v>
      </c>
      <c r="K139" s="9">
        <v>25520</v>
      </c>
      <c r="L139">
        <f t="shared" si="19"/>
        <v>0.0808522017121163</v>
      </c>
      <c r="M139">
        <f t="shared" si="20"/>
        <v>0.0794399938063695</v>
      </c>
      <c r="N139">
        <f t="shared" si="21"/>
        <v>0.0833810616173741</v>
      </c>
      <c r="O139">
        <f t="shared" si="22"/>
        <v>0.0716033450171954</v>
      </c>
      <c r="P139">
        <f t="shared" si="23"/>
        <v>0.0778694543417563</v>
      </c>
      <c r="Q139">
        <f t="shared" si="24"/>
        <v>0.0721857111819666</v>
      </c>
      <c r="R139">
        <f t="shared" si="25"/>
        <v>0.0775552946127964</v>
      </c>
      <c r="S139">
        <f t="shared" si="26"/>
        <v>0.00474801169349749</v>
      </c>
    </row>
    <row r="140" spans="3:19">
      <c r="C140">
        <v>80</v>
      </c>
      <c r="D140" s="4">
        <v>21052</v>
      </c>
      <c r="E140" s="4">
        <v>21327</v>
      </c>
      <c r="F140" s="4">
        <v>21492</v>
      </c>
      <c r="G140" s="4">
        <v>21117</v>
      </c>
      <c r="H140" s="4">
        <v>21222</v>
      </c>
      <c r="I140" s="4">
        <v>20988</v>
      </c>
      <c r="J140" s="1">
        <f t="shared" si="18"/>
        <v>21199.6666666667</v>
      </c>
      <c r="K140" s="9">
        <v>25520</v>
      </c>
      <c r="L140">
        <f t="shared" si="19"/>
        <v>0.0835873087038848</v>
      </c>
      <c r="M140">
        <f t="shared" si="20"/>
        <v>0.0779509011012248</v>
      </c>
      <c r="N140">
        <f t="shared" si="21"/>
        <v>0.0746038381524684</v>
      </c>
      <c r="O140">
        <f t="shared" si="22"/>
        <v>0.0822484501262142</v>
      </c>
      <c r="P140">
        <f t="shared" si="23"/>
        <v>0.0800943598507295</v>
      </c>
      <c r="Q140">
        <f t="shared" si="24"/>
        <v>0.0849096145228234</v>
      </c>
      <c r="R140">
        <f t="shared" si="25"/>
        <v>0.0805657454095575</v>
      </c>
      <c r="S140">
        <f t="shared" si="26"/>
        <v>0.00383234894085322</v>
      </c>
    </row>
    <row r="141" spans="3:19">
      <c r="C141">
        <v>100</v>
      </c>
      <c r="D141" s="4">
        <v>21252</v>
      </c>
      <c r="E141" s="4">
        <v>20983</v>
      </c>
      <c r="F141" s="4">
        <v>21541</v>
      </c>
      <c r="G141" s="4">
        <v>21046</v>
      </c>
      <c r="H141" s="4">
        <v>20983</v>
      </c>
      <c r="I141" s="4">
        <v>20805</v>
      </c>
      <c r="J141" s="1">
        <f t="shared" si="18"/>
        <v>21101.6666666667</v>
      </c>
      <c r="K141" s="9">
        <v>25520</v>
      </c>
      <c r="L141">
        <f t="shared" si="19"/>
        <v>0.0794808628114251</v>
      </c>
      <c r="M141">
        <f t="shared" si="20"/>
        <v>0.0850130894183364</v>
      </c>
      <c r="N141">
        <f t="shared" si="21"/>
        <v>0.0736148093229512</v>
      </c>
      <c r="O141">
        <f t="shared" si="22"/>
        <v>0.0837111039867516</v>
      </c>
      <c r="P141">
        <f t="shared" si="23"/>
        <v>0.0850130894183364</v>
      </c>
      <c r="Q141">
        <f t="shared" si="24"/>
        <v>0.0887129499201586</v>
      </c>
      <c r="R141">
        <f t="shared" si="25"/>
        <v>0.0825909841463266</v>
      </c>
      <c r="S141">
        <f t="shared" si="26"/>
        <v>0.00530492017787049</v>
      </c>
    </row>
    <row r="142" spans="3:19">
      <c r="C142">
        <v>120</v>
      </c>
      <c r="D142" s="4">
        <v>21914</v>
      </c>
      <c r="E142" s="4">
        <v>21144</v>
      </c>
      <c r="F142" s="4">
        <v>21014</v>
      </c>
      <c r="G142" s="4">
        <v>21076</v>
      </c>
      <c r="H142" s="4">
        <v>21677</v>
      </c>
      <c r="I142" s="4">
        <v>22345</v>
      </c>
      <c r="J142" s="1">
        <f t="shared" si="18"/>
        <v>21528.3333333333</v>
      </c>
      <c r="K142" s="9">
        <v>25520</v>
      </c>
      <c r="L142">
        <f t="shared" si="19"/>
        <v>0.0661590127361176</v>
      </c>
      <c r="M142">
        <f t="shared" si="20"/>
        <v>0.0816935199254708</v>
      </c>
      <c r="N142">
        <f t="shared" si="21"/>
        <v>0.0843719421276163</v>
      </c>
      <c r="O142">
        <f t="shared" si="22"/>
        <v>0.0830924801483741</v>
      </c>
      <c r="P142">
        <f t="shared" si="23"/>
        <v>0.0708814924409938</v>
      </c>
      <c r="Q142">
        <f t="shared" si="24"/>
        <v>0.0577003110527468</v>
      </c>
      <c r="R142">
        <f t="shared" si="25"/>
        <v>0.0739831264052199</v>
      </c>
      <c r="S142">
        <f t="shared" si="26"/>
        <v>0.0108288960630968</v>
      </c>
    </row>
    <row r="143" spans="2:19">
      <c r="B143" s="16" t="s">
        <v>31</v>
      </c>
      <c r="C143">
        <v>140</v>
      </c>
      <c r="D143" s="4">
        <v>21043</v>
      </c>
      <c r="E143" s="4">
        <v>21221</v>
      </c>
      <c r="F143" s="4">
        <v>20463</v>
      </c>
      <c r="G143" s="4">
        <v>21294</v>
      </c>
      <c r="H143" s="4">
        <v>20964</v>
      </c>
      <c r="I143" s="4">
        <v>21063</v>
      </c>
      <c r="J143" s="1">
        <f t="shared" si="18"/>
        <v>21008</v>
      </c>
      <c r="K143" s="9">
        <v>25520</v>
      </c>
      <c r="L143">
        <f t="shared" si="19"/>
        <v>0.0837730148636038</v>
      </c>
      <c r="M143">
        <f t="shared" si="20"/>
        <v>0.0801148246850713</v>
      </c>
      <c r="N143">
        <f t="shared" si="21"/>
        <v>0.0959113657983142</v>
      </c>
      <c r="O143">
        <f t="shared" si="22"/>
        <v>0.0786234203178882</v>
      </c>
      <c r="P143">
        <f t="shared" si="23"/>
        <v>0.085406519018569</v>
      </c>
      <c r="Q143">
        <f t="shared" si="24"/>
        <v>0.0833604422947873</v>
      </c>
      <c r="R143">
        <f t="shared" si="25"/>
        <v>0.0845315978297056</v>
      </c>
      <c r="S143">
        <f t="shared" si="26"/>
        <v>0.00610943706133109</v>
      </c>
    </row>
    <row r="144" spans="3:19">
      <c r="C144">
        <v>160</v>
      </c>
      <c r="D144" s="4">
        <v>20373</v>
      </c>
      <c r="E144" s="4">
        <v>20934</v>
      </c>
      <c r="F144" s="4">
        <v>20655</v>
      </c>
      <c r="G144" s="4">
        <v>20792</v>
      </c>
      <c r="H144" s="4">
        <v>20310</v>
      </c>
      <c r="I144" s="4">
        <v>20789</v>
      </c>
      <c r="J144" s="1">
        <f t="shared" si="18"/>
        <v>20642.1666666667</v>
      </c>
      <c r="K144" s="9">
        <v>25520</v>
      </c>
      <c r="L144">
        <f t="shared" si="19"/>
        <v>0.0978256848627169</v>
      </c>
      <c r="M144">
        <f t="shared" si="20"/>
        <v>0.0860284502173702</v>
      </c>
      <c r="N144">
        <f t="shared" si="21"/>
        <v>0.0918554707365198</v>
      </c>
      <c r="O144">
        <f t="shared" si="22"/>
        <v>0.0889844035561685</v>
      </c>
      <c r="P144">
        <f t="shared" si="23"/>
        <v>0.099170746644318</v>
      </c>
      <c r="Q144">
        <f t="shared" si="24"/>
        <v>0.0890470708055358</v>
      </c>
      <c r="R144">
        <f t="shared" si="25"/>
        <v>0.0921519711371049</v>
      </c>
      <c r="S144">
        <f t="shared" si="26"/>
        <v>0.00526713486540082</v>
      </c>
    </row>
    <row r="145" spans="3:19">
      <c r="C145">
        <v>180</v>
      </c>
      <c r="D145" s="4">
        <v>20202</v>
      </c>
      <c r="E145" s="4">
        <v>21050</v>
      </c>
      <c r="F145" s="4">
        <v>20022</v>
      </c>
      <c r="G145" s="4">
        <v>20108</v>
      </c>
      <c r="H145" s="4">
        <v>20788</v>
      </c>
      <c r="I145" s="4">
        <v>20863</v>
      </c>
      <c r="J145" s="1">
        <f t="shared" si="18"/>
        <v>20505.5</v>
      </c>
      <c r="K145" s="9">
        <v>25520</v>
      </c>
      <c r="L145">
        <f t="shared" si="19"/>
        <v>0.101486303277392</v>
      </c>
      <c r="M145">
        <f t="shared" si="20"/>
        <v>0.0836285698774376</v>
      </c>
      <c r="N145">
        <f t="shared" si="21"/>
        <v>0.105373213010688</v>
      </c>
      <c r="O145">
        <f t="shared" si="22"/>
        <v>0.103511793493087</v>
      </c>
      <c r="P145">
        <f t="shared" si="23"/>
        <v>0.0890679618983028</v>
      </c>
      <c r="Q145">
        <f t="shared" si="24"/>
        <v>0.0875039119908752</v>
      </c>
      <c r="R145">
        <f t="shared" si="25"/>
        <v>0.0950952922579639</v>
      </c>
      <c r="S145">
        <f t="shared" si="26"/>
        <v>0.00941022483968018</v>
      </c>
    </row>
    <row r="146" spans="3:19">
      <c r="C146">
        <v>200</v>
      </c>
      <c r="D146" s="4">
        <v>20764</v>
      </c>
      <c r="E146" s="4">
        <v>19861</v>
      </c>
      <c r="F146" s="4">
        <v>20389</v>
      </c>
      <c r="G146" s="4">
        <v>20232</v>
      </c>
      <c r="H146" s="4">
        <v>20388</v>
      </c>
      <c r="I146" s="4">
        <v>19942</v>
      </c>
      <c r="J146" s="1">
        <f t="shared" si="18"/>
        <v>20262.6666666667</v>
      </c>
      <c r="K146" s="9">
        <v>25520</v>
      </c>
      <c r="L146">
        <f t="shared" si="19"/>
        <v>0.0895696498423131</v>
      </c>
      <c r="M146">
        <f t="shared" si="20"/>
        <v>0.108879558641607</v>
      </c>
      <c r="N146">
        <f t="shared" si="21"/>
        <v>0.0974847441793684</v>
      </c>
      <c r="O146">
        <f t="shared" si="22"/>
        <v>0.100841853712776</v>
      </c>
      <c r="P146">
        <f t="shared" si="23"/>
        <v>0.0975060451324543</v>
      </c>
      <c r="Q146">
        <f t="shared" si="24"/>
        <v>0.107111958129326</v>
      </c>
      <c r="R146">
        <f t="shared" si="25"/>
        <v>0.100232301606307</v>
      </c>
      <c r="S146">
        <f t="shared" si="26"/>
        <v>0.00708731219427375</v>
      </c>
    </row>
    <row r="147" spans="3:19">
      <c r="C147">
        <v>250</v>
      </c>
      <c r="D147" s="4">
        <v>20684</v>
      </c>
      <c r="E147" s="4">
        <v>20916</v>
      </c>
      <c r="F147" s="4">
        <v>21550</v>
      </c>
      <c r="G147" s="4">
        <v>20550</v>
      </c>
      <c r="H147" s="4">
        <v>20328</v>
      </c>
      <c r="I147" s="4">
        <v>20392</v>
      </c>
      <c r="J147" s="1">
        <f t="shared" si="18"/>
        <v>20736.6666666667</v>
      </c>
      <c r="K147" s="9">
        <v>25520</v>
      </c>
      <c r="L147">
        <f t="shared" si="19"/>
        <v>0.0912461409490926</v>
      </c>
      <c r="M147">
        <f t="shared" si="20"/>
        <v>0.0864020368915067</v>
      </c>
      <c r="N147">
        <f t="shared" si="21"/>
        <v>0.0734333955523743</v>
      </c>
      <c r="O147">
        <f t="shared" si="22"/>
        <v>0.0940688438370367</v>
      </c>
      <c r="P147">
        <f t="shared" si="23"/>
        <v>0.0987860180068117</v>
      </c>
      <c r="Q147">
        <f t="shared" si="24"/>
        <v>0.0974208475879136</v>
      </c>
      <c r="R147">
        <f t="shared" si="25"/>
        <v>0.0902262138041226</v>
      </c>
      <c r="S147">
        <f t="shared" si="26"/>
        <v>0.00935373865486285</v>
      </c>
    </row>
    <row r="148" spans="3:19">
      <c r="C148">
        <v>300</v>
      </c>
      <c r="D148" s="4">
        <v>19974</v>
      </c>
      <c r="E148" s="4">
        <v>19864</v>
      </c>
      <c r="F148" s="4">
        <v>19643</v>
      </c>
      <c r="G148" s="4">
        <v>19753</v>
      </c>
      <c r="H148" s="4">
        <v>20106</v>
      </c>
      <c r="I148" s="4">
        <v>20186</v>
      </c>
      <c r="J148" s="1">
        <f t="shared" si="18"/>
        <v>19921</v>
      </c>
      <c r="K148" s="9">
        <v>25520</v>
      </c>
      <c r="L148">
        <f t="shared" si="19"/>
        <v>0.106415624508814</v>
      </c>
      <c r="M148">
        <f t="shared" si="20"/>
        <v>0.108813963502617</v>
      </c>
      <c r="N148">
        <f t="shared" si="21"/>
        <v>0.113672853403263</v>
      </c>
      <c r="O148">
        <f t="shared" si="22"/>
        <v>0.111247606314364</v>
      </c>
      <c r="P148">
        <f t="shared" si="23"/>
        <v>0.10355499183021</v>
      </c>
      <c r="Q148">
        <f t="shared" si="24"/>
        <v>0.101830401131902</v>
      </c>
      <c r="R148">
        <f t="shared" si="25"/>
        <v>0.107589240115195</v>
      </c>
      <c r="S148">
        <f t="shared" si="26"/>
        <v>0.00453234377587625</v>
      </c>
    </row>
    <row r="149" spans="3:19">
      <c r="C149">
        <v>350</v>
      </c>
      <c r="D149" s="4">
        <v>19886</v>
      </c>
      <c r="E149" s="4">
        <v>19867</v>
      </c>
      <c r="F149" s="4">
        <v>20345</v>
      </c>
      <c r="G149" s="4">
        <v>20093</v>
      </c>
      <c r="H149" s="4">
        <v>19985</v>
      </c>
      <c r="I149" s="4">
        <v>20693</v>
      </c>
      <c r="J149" s="1">
        <f t="shared" si="18"/>
        <v>20144.8333333333</v>
      </c>
      <c r="K149" s="9">
        <v>25520</v>
      </c>
      <c r="L149">
        <f t="shared" si="19"/>
        <v>0.108333234970419</v>
      </c>
      <c r="M149">
        <f t="shared" si="20"/>
        <v>0.108748378269515</v>
      </c>
      <c r="N149">
        <f t="shared" si="21"/>
        <v>0.0984229758598206</v>
      </c>
      <c r="O149">
        <f t="shared" si="22"/>
        <v>0.103835885805759</v>
      </c>
      <c r="P149">
        <f t="shared" si="23"/>
        <v>0.106176517453001</v>
      </c>
      <c r="Q149">
        <f t="shared" si="24"/>
        <v>0.091057212297969</v>
      </c>
      <c r="R149">
        <f t="shared" si="25"/>
        <v>0.102762367442747</v>
      </c>
      <c r="S149">
        <f t="shared" si="26"/>
        <v>0.0068631877268597</v>
      </c>
    </row>
    <row r="150" spans="3:19">
      <c r="C150">
        <v>400</v>
      </c>
      <c r="D150" s="4">
        <v>19901</v>
      </c>
      <c r="E150" s="4">
        <v>19623</v>
      </c>
      <c r="F150" s="4">
        <v>19774</v>
      </c>
      <c r="G150" s="4">
        <v>19649</v>
      </c>
      <c r="H150" s="4">
        <v>19736</v>
      </c>
      <c r="I150" s="4">
        <v>20600</v>
      </c>
      <c r="J150" s="1">
        <f t="shared" si="18"/>
        <v>19880.5</v>
      </c>
      <c r="K150" s="9">
        <v>25520</v>
      </c>
      <c r="L150">
        <f t="shared" si="19"/>
        <v>0.108005770344426</v>
      </c>
      <c r="M150">
        <f t="shared" si="20"/>
        <v>0.114115266197497</v>
      </c>
      <c r="N150">
        <f t="shared" si="21"/>
        <v>0.110786140229002</v>
      </c>
      <c r="O150">
        <f t="shared" si="22"/>
        <v>0.113540217400429</v>
      </c>
      <c r="P150">
        <f t="shared" si="23"/>
        <v>0.111621533567445</v>
      </c>
      <c r="Q150">
        <f t="shared" si="24"/>
        <v>0.0930134496799713</v>
      </c>
      <c r="R150">
        <f t="shared" si="25"/>
        <v>0.108513729569795</v>
      </c>
      <c r="S150">
        <f t="shared" si="26"/>
        <v>0.00789913650511744</v>
      </c>
    </row>
    <row r="151" spans="3:19">
      <c r="C151">
        <v>450</v>
      </c>
      <c r="D151" s="4">
        <v>19797</v>
      </c>
      <c r="E151" s="4">
        <v>19871</v>
      </c>
      <c r="F151" s="4">
        <v>19673</v>
      </c>
      <c r="G151" s="4">
        <v>19958</v>
      </c>
      <c r="H151" s="4">
        <v>19838</v>
      </c>
      <c r="I151" s="4">
        <v>19800</v>
      </c>
      <c r="J151" s="1">
        <f t="shared" si="18"/>
        <v>19822.8333333333</v>
      </c>
      <c r="K151" s="9">
        <v>25520</v>
      </c>
      <c r="L151">
        <f t="shared" si="19"/>
        <v>0.11028128696734</v>
      </c>
      <c r="M151">
        <f t="shared" si="20"/>
        <v>0.108660946696035</v>
      </c>
      <c r="N151">
        <f t="shared" si="21"/>
        <v>0.113010078096225</v>
      </c>
      <c r="O151">
        <f t="shared" si="22"/>
        <v>0.106763651759255</v>
      </c>
      <c r="P151">
        <f t="shared" si="23"/>
        <v>0.109382784123426</v>
      </c>
      <c r="Q151">
        <f t="shared" si="24"/>
        <v>0.110215479787594</v>
      </c>
      <c r="R151">
        <f t="shared" si="25"/>
        <v>0.109719037904979</v>
      </c>
      <c r="S151">
        <f t="shared" si="26"/>
        <v>0.00206690372169225</v>
      </c>
    </row>
    <row r="152" spans="3:19">
      <c r="C152">
        <v>500</v>
      </c>
      <c r="D152" s="4">
        <v>19639</v>
      </c>
      <c r="E152" s="4">
        <v>19449</v>
      </c>
      <c r="F152" s="4">
        <v>19370</v>
      </c>
      <c r="G152" s="4">
        <v>19493</v>
      </c>
      <c r="H152" s="4">
        <v>20545</v>
      </c>
      <c r="I152" s="4">
        <v>20416</v>
      </c>
      <c r="J152" s="1">
        <f t="shared" si="18"/>
        <v>19818.6666666667</v>
      </c>
      <c r="K152" s="9">
        <v>25520</v>
      </c>
      <c r="L152">
        <f t="shared" si="19"/>
        <v>0.113761299914826</v>
      </c>
      <c r="M152">
        <f t="shared" si="20"/>
        <v>0.117983393726559</v>
      </c>
      <c r="N152">
        <f t="shared" si="21"/>
        <v>0.119751049330014</v>
      </c>
      <c r="O152">
        <f t="shared" si="22"/>
        <v>0.117001987258708</v>
      </c>
      <c r="P152">
        <f t="shared" si="23"/>
        <v>0.0941745244512346</v>
      </c>
      <c r="Q152">
        <f t="shared" si="24"/>
        <v>0.0969100130080564</v>
      </c>
      <c r="R152">
        <f t="shared" si="25"/>
        <v>0.109930377948233</v>
      </c>
      <c r="S152">
        <f t="shared" si="26"/>
        <v>0.0113468682328057</v>
      </c>
    </row>
    <row r="153" spans="10:10">
      <c r="J153" s="1"/>
    </row>
    <row r="154" spans="10:10">
      <c r="J154" s="1"/>
    </row>
    <row r="155" spans="3:19">
      <c r="C155" t="s">
        <v>0</v>
      </c>
      <c r="D155" s="4">
        <v>15245</v>
      </c>
      <c r="E155" s="4">
        <v>15769</v>
      </c>
      <c r="F155" s="4">
        <v>15269</v>
      </c>
      <c r="G155" s="4">
        <v>15342</v>
      </c>
      <c r="H155" s="4">
        <v>15526</v>
      </c>
      <c r="I155" s="4">
        <v>15786</v>
      </c>
      <c r="J155" s="1">
        <f t="shared" si="18"/>
        <v>15489.5</v>
      </c>
      <c r="K155" s="9">
        <v>18664</v>
      </c>
      <c r="L155">
        <f t="shared" si="19"/>
        <v>0.0878772970842967</v>
      </c>
      <c r="M155">
        <f t="shared" si="20"/>
        <v>0.0732005726122865</v>
      </c>
      <c r="N155">
        <f t="shared" si="21"/>
        <v>0.0871941306875617</v>
      </c>
      <c r="O155">
        <f t="shared" si="22"/>
        <v>0.0851227473757171</v>
      </c>
      <c r="P155">
        <f t="shared" si="23"/>
        <v>0.0799451439582981</v>
      </c>
      <c r="Q155">
        <f t="shared" si="24"/>
        <v>0.0727326273163496</v>
      </c>
      <c r="R155">
        <f t="shared" si="25"/>
        <v>0.0810120865057516</v>
      </c>
      <c r="S155">
        <f t="shared" si="26"/>
        <v>0.00682574361542864</v>
      </c>
    </row>
    <row r="156" spans="3:19">
      <c r="C156">
        <v>20</v>
      </c>
      <c r="D156" s="4">
        <v>16246</v>
      </c>
      <c r="E156" s="4">
        <v>15690</v>
      </c>
      <c r="F156" s="4">
        <v>15825</v>
      </c>
      <c r="G156" s="4">
        <v>15847</v>
      </c>
      <c r="H156" s="4">
        <v>16090</v>
      </c>
      <c r="I156" s="4">
        <v>15742</v>
      </c>
      <c r="J156" s="1">
        <f t="shared" si="18"/>
        <v>15906.6666666667</v>
      </c>
      <c r="K156" s="9">
        <v>18664</v>
      </c>
      <c r="L156">
        <f t="shared" si="19"/>
        <v>0.0602582768873704</v>
      </c>
      <c r="M156">
        <f t="shared" si="20"/>
        <v>0.0753817821987595</v>
      </c>
      <c r="N156">
        <f t="shared" si="21"/>
        <v>0.0716610070963035</v>
      </c>
      <c r="O156">
        <f t="shared" si="22"/>
        <v>0.0710576678604775</v>
      </c>
      <c r="P156">
        <f t="shared" si="23"/>
        <v>0.0644486816866667</v>
      </c>
      <c r="Q156">
        <f t="shared" si="24"/>
        <v>0.073944817725488</v>
      </c>
      <c r="R156">
        <f t="shared" si="25"/>
        <v>0.0694587055758443</v>
      </c>
      <c r="S156">
        <f t="shared" si="26"/>
        <v>0.00587133849640141</v>
      </c>
    </row>
    <row r="157" spans="3:19">
      <c r="C157">
        <v>40</v>
      </c>
      <c r="D157" s="4">
        <v>15966</v>
      </c>
      <c r="E157" s="4">
        <v>16392</v>
      </c>
      <c r="F157" s="4">
        <v>15649</v>
      </c>
      <c r="G157" s="4">
        <v>15966</v>
      </c>
      <c r="H157" s="4">
        <v>15962</v>
      </c>
      <c r="I157" s="4">
        <v>16058</v>
      </c>
      <c r="J157" s="1">
        <f t="shared" si="18"/>
        <v>15998.8333333333</v>
      </c>
      <c r="K157" s="9">
        <v>18664</v>
      </c>
      <c r="L157">
        <f t="shared" si="19"/>
        <v>0.0678086008506637</v>
      </c>
      <c r="M157">
        <f t="shared" si="20"/>
        <v>0.0563727803925576</v>
      </c>
      <c r="N157">
        <f t="shared" si="21"/>
        <v>0.0765181352359904</v>
      </c>
      <c r="O157">
        <f t="shared" si="22"/>
        <v>0.0678086008506637</v>
      </c>
      <c r="P157">
        <f t="shared" si="23"/>
        <v>0.0679174193132484</v>
      </c>
      <c r="Q157">
        <f t="shared" si="24"/>
        <v>0.0653132722061905</v>
      </c>
      <c r="R157">
        <f t="shared" si="25"/>
        <v>0.0669564681415524</v>
      </c>
      <c r="S157">
        <f t="shared" si="26"/>
        <v>0.0064577969050959</v>
      </c>
    </row>
    <row r="158" spans="3:19">
      <c r="C158">
        <v>60</v>
      </c>
      <c r="D158" s="4">
        <v>15791</v>
      </c>
      <c r="E158" s="4">
        <v>15874</v>
      </c>
      <c r="F158" s="4">
        <v>15734</v>
      </c>
      <c r="G158" s="4">
        <v>16144</v>
      </c>
      <c r="H158" s="4">
        <v>15926</v>
      </c>
      <c r="I158" s="4">
        <v>16105</v>
      </c>
      <c r="J158" s="1">
        <f t="shared" si="18"/>
        <v>15929</v>
      </c>
      <c r="K158" s="9">
        <v>18664</v>
      </c>
      <c r="L158">
        <f t="shared" si="19"/>
        <v>0.072595092247935</v>
      </c>
      <c r="M158">
        <f t="shared" si="20"/>
        <v>0.0703183498160794</v>
      </c>
      <c r="N158">
        <f t="shared" si="21"/>
        <v>0.074165579952584</v>
      </c>
      <c r="O158">
        <f t="shared" si="22"/>
        <v>0.0629935768928609</v>
      </c>
      <c r="P158">
        <f t="shared" si="23"/>
        <v>0.0688980143954601</v>
      </c>
      <c r="Q158">
        <f t="shared" si="24"/>
        <v>0.064043996629986</v>
      </c>
      <c r="R158">
        <f t="shared" si="25"/>
        <v>0.0688357683224843</v>
      </c>
      <c r="S158">
        <f t="shared" si="26"/>
        <v>0.00451295042075486</v>
      </c>
    </row>
    <row r="159" spans="3:19">
      <c r="C159">
        <v>80</v>
      </c>
      <c r="D159" s="4">
        <v>15668</v>
      </c>
      <c r="E159" s="4">
        <v>15842</v>
      </c>
      <c r="F159" s="4">
        <v>15988</v>
      </c>
      <c r="G159" s="4">
        <v>15679</v>
      </c>
      <c r="H159" s="4">
        <v>15769</v>
      </c>
      <c r="I159" s="4">
        <v>15631</v>
      </c>
      <c r="J159" s="1">
        <f t="shared" si="18"/>
        <v>15762.8333333333</v>
      </c>
      <c r="K159" s="9">
        <v>18664</v>
      </c>
      <c r="L159">
        <f t="shared" si="19"/>
        <v>0.0759911629098679</v>
      </c>
      <c r="M159">
        <f t="shared" si="20"/>
        <v>0.0711947168318894</v>
      </c>
      <c r="N159">
        <f t="shared" si="21"/>
        <v>0.067210586197629</v>
      </c>
      <c r="O159">
        <f t="shared" si="22"/>
        <v>0.0756863656726827</v>
      </c>
      <c r="P159">
        <f t="shared" si="23"/>
        <v>0.0732005726122865</v>
      </c>
      <c r="Q159">
        <f t="shared" si="24"/>
        <v>0.0770179627000014</v>
      </c>
      <c r="R159">
        <f t="shared" si="25"/>
        <v>0.0733835611540595</v>
      </c>
      <c r="S159">
        <f t="shared" si="26"/>
        <v>0.0036943609528812</v>
      </c>
    </row>
    <row r="160" spans="3:19">
      <c r="C160">
        <v>100</v>
      </c>
      <c r="D160" s="4">
        <v>15842</v>
      </c>
      <c r="E160" s="4">
        <v>15637</v>
      </c>
      <c r="F160" s="4">
        <v>16014</v>
      </c>
      <c r="G160" s="4">
        <v>15666</v>
      </c>
      <c r="H160" s="4">
        <v>15654</v>
      </c>
      <c r="I160" s="4">
        <v>15531</v>
      </c>
      <c r="J160" s="1">
        <f t="shared" si="18"/>
        <v>15724</v>
      </c>
      <c r="K160" s="9">
        <v>18664</v>
      </c>
      <c r="L160">
        <f t="shared" si="19"/>
        <v>0.0711947168318894</v>
      </c>
      <c r="M160">
        <f t="shared" si="20"/>
        <v>0.0768512896205974</v>
      </c>
      <c r="N160">
        <f t="shared" si="21"/>
        <v>0.0665049016145449</v>
      </c>
      <c r="O160">
        <f t="shared" si="22"/>
        <v>0.0760466035791081</v>
      </c>
      <c r="P160">
        <f t="shared" si="23"/>
        <v>0.0763793963018318</v>
      </c>
      <c r="Q160">
        <f t="shared" si="24"/>
        <v>0.0798053060841778</v>
      </c>
      <c r="R160">
        <f t="shared" si="25"/>
        <v>0.0744637023386916</v>
      </c>
      <c r="S160">
        <f t="shared" si="26"/>
        <v>0.0047840890148532</v>
      </c>
    </row>
    <row r="161" spans="3:19">
      <c r="C161">
        <v>120</v>
      </c>
      <c r="D161" s="4">
        <v>16261</v>
      </c>
      <c r="E161" s="4">
        <v>15722</v>
      </c>
      <c r="F161" s="4">
        <v>15629</v>
      </c>
      <c r="G161" s="4">
        <v>15679</v>
      </c>
      <c r="H161" s="4">
        <v>16086</v>
      </c>
      <c r="I161" s="4">
        <v>16570</v>
      </c>
      <c r="J161" s="1">
        <f t="shared" si="18"/>
        <v>15991.1666666667</v>
      </c>
      <c r="K161" s="9">
        <v>18664</v>
      </c>
      <c r="L161">
        <f t="shared" si="19"/>
        <v>0.0598574759712039</v>
      </c>
      <c r="M161">
        <f t="shared" si="20"/>
        <v>0.0744969338460004</v>
      </c>
      <c r="N161">
        <f t="shared" si="21"/>
        <v>0.0770735346107495</v>
      </c>
      <c r="O161">
        <f t="shared" si="22"/>
        <v>0.0756863656726827</v>
      </c>
      <c r="P161">
        <f t="shared" si="23"/>
        <v>0.064556661419173</v>
      </c>
      <c r="Q161">
        <f t="shared" si="24"/>
        <v>0.0516822173663595</v>
      </c>
      <c r="R161">
        <f t="shared" si="25"/>
        <v>0.0672255314810282</v>
      </c>
      <c r="S161">
        <f t="shared" si="26"/>
        <v>0.0102415613681232</v>
      </c>
    </row>
    <row r="162" spans="3:19">
      <c r="C162">
        <v>140</v>
      </c>
      <c r="D162" s="4">
        <v>15631</v>
      </c>
      <c r="E162" s="4">
        <v>15760</v>
      </c>
      <c r="F162" s="4">
        <v>15231</v>
      </c>
      <c r="G162" s="4">
        <v>15827</v>
      </c>
      <c r="H162" s="4">
        <v>15598</v>
      </c>
      <c r="I162" s="4">
        <v>15674</v>
      </c>
      <c r="J162" s="1">
        <f t="shared" si="18"/>
        <v>15620.1666666667</v>
      </c>
      <c r="K162" s="9">
        <v>18664</v>
      </c>
      <c r="L162">
        <f t="shared" si="19"/>
        <v>0.0770179627000014</v>
      </c>
      <c r="M162">
        <f t="shared" si="20"/>
        <v>0.0734485126321597</v>
      </c>
      <c r="N162">
        <f t="shared" si="21"/>
        <v>0.0882763076614288</v>
      </c>
      <c r="O162">
        <f t="shared" si="22"/>
        <v>0.0716061234260797</v>
      </c>
      <c r="P162">
        <f t="shared" si="23"/>
        <v>0.0779358097804235</v>
      </c>
      <c r="Q162">
        <f t="shared" si="24"/>
        <v>0.0758248833537929</v>
      </c>
      <c r="R162">
        <f t="shared" si="25"/>
        <v>0.0773515999256477</v>
      </c>
      <c r="S162">
        <f t="shared" si="26"/>
        <v>0.00583741909037617</v>
      </c>
    </row>
    <row r="163" spans="3:19">
      <c r="C163">
        <v>160</v>
      </c>
      <c r="D163" s="4">
        <v>15161</v>
      </c>
      <c r="E163" s="4">
        <v>15556</v>
      </c>
      <c r="F163" s="4">
        <v>15348</v>
      </c>
      <c r="G163" s="4">
        <v>15475</v>
      </c>
      <c r="H163" s="4">
        <v>15140</v>
      </c>
      <c r="I163" s="4">
        <v>15467</v>
      </c>
      <c r="J163" s="1">
        <f t="shared" si="18"/>
        <v>15357.8333333333</v>
      </c>
      <c r="K163" s="9">
        <v>18664</v>
      </c>
      <c r="L163">
        <f t="shared" si="19"/>
        <v>0.0902768780411894</v>
      </c>
      <c r="M163">
        <f t="shared" si="20"/>
        <v>0.0791067913102741</v>
      </c>
      <c r="N163">
        <f t="shared" si="21"/>
        <v>0.0849529352594175</v>
      </c>
      <c r="O163">
        <f t="shared" si="22"/>
        <v>0.0813740680935406</v>
      </c>
      <c r="P163">
        <f t="shared" si="23"/>
        <v>0.0908788506216422</v>
      </c>
      <c r="Q163">
        <f t="shared" si="24"/>
        <v>0.0815986402564676</v>
      </c>
      <c r="R163">
        <f t="shared" si="25"/>
        <v>0.0846980272637552</v>
      </c>
      <c r="S163">
        <f t="shared" si="26"/>
        <v>0.0049256056549064</v>
      </c>
    </row>
    <row r="164" spans="2:19">
      <c r="B164" s="17" t="s">
        <v>32</v>
      </c>
      <c r="C164">
        <v>180</v>
      </c>
      <c r="D164" s="4">
        <v>15093</v>
      </c>
      <c r="E164" s="4">
        <v>15681</v>
      </c>
      <c r="F164" s="4">
        <v>14960</v>
      </c>
      <c r="G164" s="4">
        <v>15010</v>
      </c>
      <c r="H164" s="4">
        <v>15488</v>
      </c>
      <c r="I164" s="4">
        <v>15533</v>
      </c>
      <c r="J164" s="1">
        <f t="shared" si="18"/>
        <v>15294.1666666667</v>
      </c>
      <c r="K164" s="9">
        <v>18664</v>
      </c>
      <c r="L164">
        <f t="shared" si="19"/>
        <v>0.0922291537402856</v>
      </c>
      <c r="M164">
        <f t="shared" si="20"/>
        <v>0.0756309709682832</v>
      </c>
      <c r="N164">
        <f t="shared" si="21"/>
        <v>0.0960731322572536</v>
      </c>
      <c r="O164">
        <f t="shared" si="22"/>
        <v>0.0946240335424258</v>
      </c>
      <c r="P164">
        <f t="shared" si="23"/>
        <v>0.0810093858213777</v>
      </c>
      <c r="Q164">
        <f t="shared" si="24"/>
        <v>0.079749383539431</v>
      </c>
      <c r="R164">
        <f t="shared" si="25"/>
        <v>0.0865526766448428</v>
      </c>
      <c r="S164">
        <f t="shared" si="26"/>
        <v>0.0087670382064661</v>
      </c>
    </row>
    <row r="165" spans="3:19">
      <c r="C165">
        <v>200</v>
      </c>
      <c r="D165" s="4">
        <v>15464</v>
      </c>
      <c r="E165" s="4">
        <v>14837</v>
      </c>
      <c r="F165" s="4">
        <v>15190</v>
      </c>
      <c r="G165" s="4">
        <v>15090</v>
      </c>
      <c r="H165" s="4">
        <v>15201</v>
      </c>
      <c r="I165" s="4">
        <v>14899</v>
      </c>
      <c r="J165" s="1">
        <f t="shared" si="18"/>
        <v>15113.5</v>
      </c>
      <c r="K165" s="9">
        <v>18664</v>
      </c>
      <c r="L165">
        <f t="shared" si="19"/>
        <v>0.0816828847651996</v>
      </c>
      <c r="M165">
        <f t="shared" si="20"/>
        <v>0.0996586290985189</v>
      </c>
      <c r="N165">
        <f t="shared" si="21"/>
        <v>0.0894469519229098</v>
      </c>
      <c r="O165">
        <f t="shared" si="22"/>
        <v>0.0923154860101063</v>
      </c>
      <c r="P165">
        <f t="shared" si="23"/>
        <v>0.0891325667753627</v>
      </c>
      <c r="Q165">
        <f t="shared" si="24"/>
        <v>0.0978476056322273</v>
      </c>
      <c r="R165">
        <f t="shared" si="25"/>
        <v>0.0916806873673874</v>
      </c>
      <c r="S165">
        <f t="shared" si="26"/>
        <v>0.00653482905556177</v>
      </c>
    </row>
    <row r="166" spans="3:19">
      <c r="C166">
        <v>250</v>
      </c>
      <c r="D166" s="4">
        <v>15388</v>
      </c>
      <c r="E166" s="4">
        <v>15539</v>
      </c>
      <c r="F166" s="4">
        <v>15991</v>
      </c>
      <c r="G166" s="4">
        <v>15303</v>
      </c>
      <c r="H166" s="4">
        <v>15125</v>
      </c>
      <c r="I166" s="4">
        <v>15167</v>
      </c>
      <c r="J166" s="1">
        <f t="shared" si="18"/>
        <v>15418.8333333333</v>
      </c>
      <c r="K166" s="9">
        <v>18664</v>
      </c>
      <c r="L166">
        <f t="shared" si="19"/>
        <v>0.0838225481509184</v>
      </c>
      <c r="M166">
        <f t="shared" si="20"/>
        <v>0.0795816590978883</v>
      </c>
      <c r="N166">
        <f t="shared" si="21"/>
        <v>0.0671291025083621</v>
      </c>
      <c r="O166">
        <f t="shared" si="22"/>
        <v>0.0862281475348469</v>
      </c>
      <c r="P166">
        <f t="shared" si="23"/>
        <v>0.0913093424611897</v>
      </c>
      <c r="Q166">
        <f t="shared" si="24"/>
        <v>0.0901050390194658</v>
      </c>
      <c r="R166">
        <f t="shared" si="25"/>
        <v>0.0830293064621119</v>
      </c>
      <c r="S166">
        <f t="shared" si="26"/>
        <v>0.00887907159644047</v>
      </c>
    </row>
    <row r="167" spans="3:19">
      <c r="C167">
        <v>300</v>
      </c>
      <c r="D167" s="4">
        <v>14929</v>
      </c>
      <c r="E167" s="4">
        <v>14869</v>
      </c>
      <c r="F167" s="4">
        <v>14710</v>
      </c>
      <c r="G167" s="4">
        <v>14807</v>
      </c>
      <c r="H167" s="4">
        <v>15023</v>
      </c>
      <c r="I167" s="4">
        <v>15083</v>
      </c>
      <c r="J167" s="1">
        <f t="shared" si="18"/>
        <v>14903.5</v>
      </c>
      <c r="K167" s="9">
        <v>18664</v>
      </c>
      <c r="L167">
        <f t="shared" si="19"/>
        <v>0.0969740077476707</v>
      </c>
      <c r="M167">
        <f t="shared" si="20"/>
        <v>0.0987229643306956</v>
      </c>
      <c r="N167">
        <f t="shared" si="21"/>
        <v>0.103392053058166</v>
      </c>
      <c r="O167">
        <f t="shared" si="22"/>
        <v>0.100537649399759</v>
      </c>
      <c r="P167">
        <f t="shared" si="23"/>
        <v>0.0942480585404378</v>
      </c>
      <c r="Q167">
        <f t="shared" si="24"/>
        <v>0.092516994738298</v>
      </c>
      <c r="R167">
        <f t="shared" si="25"/>
        <v>0.0977319546358379</v>
      </c>
      <c r="S167">
        <f t="shared" si="26"/>
        <v>0.00401991441938294</v>
      </c>
    </row>
    <row r="168" spans="3:19">
      <c r="C168">
        <v>350</v>
      </c>
      <c r="D168" s="4">
        <v>14856</v>
      </c>
      <c r="E168" s="4">
        <v>14807</v>
      </c>
      <c r="F168" s="4">
        <v>15132</v>
      </c>
      <c r="G168" s="4">
        <v>14968</v>
      </c>
      <c r="H168" s="4">
        <v>14939</v>
      </c>
      <c r="I168" s="4">
        <v>15412</v>
      </c>
      <c r="J168" s="1">
        <f t="shared" si="18"/>
        <v>15019</v>
      </c>
      <c r="K168" s="9">
        <v>18664</v>
      </c>
      <c r="L168">
        <f t="shared" si="19"/>
        <v>0.0991028350539722</v>
      </c>
      <c r="M168">
        <f t="shared" si="20"/>
        <v>0.100537649399759</v>
      </c>
      <c r="N168">
        <f t="shared" si="21"/>
        <v>0.0911083931649898</v>
      </c>
      <c r="O168">
        <f t="shared" si="22"/>
        <v>0.0958409512937427</v>
      </c>
      <c r="P168">
        <f t="shared" si="23"/>
        <v>0.0966831985216558</v>
      </c>
      <c r="Q168">
        <f t="shared" si="24"/>
        <v>0.0831457254447329</v>
      </c>
      <c r="R168">
        <f t="shared" si="25"/>
        <v>0.0944031254798088</v>
      </c>
      <c r="S168">
        <f t="shared" si="26"/>
        <v>0.00639640596787505</v>
      </c>
    </row>
    <row r="169" spans="3:19">
      <c r="C169">
        <v>400</v>
      </c>
      <c r="D169" s="4">
        <v>14850</v>
      </c>
      <c r="E169" s="4">
        <v>14682</v>
      </c>
      <c r="F169" s="4">
        <v>14782</v>
      </c>
      <c r="G169" s="4">
        <v>14705</v>
      </c>
      <c r="H169" s="4">
        <v>14761</v>
      </c>
      <c r="I169" s="4">
        <v>15366</v>
      </c>
      <c r="J169" s="1">
        <f t="shared" si="18"/>
        <v>14857.6666666667</v>
      </c>
      <c r="K169" s="9">
        <v>18664</v>
      </c>
      <c r="L169">
        <f t="shared" si="19"/>
        <v>0.0992782721324651</v>
      </c>
      <c r="M169">
        <f t="shared" si="20"/>
        <v>0.104219506050263</v>
      </c>
      <c r="N169">
        <f t="shared" si="21"/>
        <v>0.101271527843178</v>
      </c>
      <c r="O169">
        <f t="shared" si="22"/>
        <v>0.103539696942608</v>
      </c>
      <c r="P169">
        <f t="shared" si="23"/>
        <v>0.101888945549981</v>
      </c>
      <c r="Q169">
        <f t="shared" si="24"/>
        <v>0.0844438969336229</v>
      </c>
      <c r="R169">
        <f t="shared" si="25"/>
        <v>0.0991069742420198</v>
      </c>
      <c r="S169">
        <f t="shared" si="26"/>
        <v>0.00739252119104867</v>
      </c>
    </row>
    <row r="170" spans="3:19">
      <c r="C170">
        <v>450</v>
      </c>
      <c r="D170" s="4">
        <v>14853</v>
      </c>
      <c r="E170" s="4">
        <v>14918</v>
      </c>
      <c r="F170" s="4">
        <v>14741</v>
      </c>
      <c r="G170" s="4">
        <v>14882</v>
      </c>
      <c r="H170" s="4">
        <v>14797</v>
      </c>
      <c r="I170" s="4">
        <v>14789</v>
      </c>
      <c r="J170" s="1">
        <f t="shared" si="18"/>
        <v>14830</v>
      </c>
      <c r="K170" s="9">
        <v>18664</v>
      </c>
      <c r="L170">
        <f t="shared" si="19"/>
        <v>0.0991905447345497</v>
      </c>
      <c r="M170">
        <f t="shared" si="20"/>
        <v>0.0972941229697853</v>
      </c>
      <c r="N170">
        <f t="shared" si="21"/>
        <v>0.102477779593007</v>
      </c>
      <c r="O170">
        <f t="shared" si="22"/>
        <v>0.0983434255841614</v>
      </c>
      <c r="P170">
        <f t="shared" si="23"/>
        <v>0.100831051979425</v>
      </c>
      <c r="Q170">
        <f t="shared" si="24"/>
        <v>0.101065916843881</v>
      </c>
      <c r="R170">
        <f t="shared" si="25"/>
        <v>0.099867140284135</v>
      </c>
      <c r="S170">
        <f t="shared" si="26"/>
        <v>0.0019277725344096</v>
      </c>
    </row>
    <row r="171" spans="3:19">
      <c r="C171">
        <v>500</v>
      </c>
      <c r="D171" s="4">
        <v>14651</v>
      </c>
      <c r="E171" s="4">
        <v>14519</v>
      </c>
      <c r="F171" s="4">
        <v>14475</v>
      </c>
      <c r="G171" s="4">
        <v>14556</v>
      </c>
      <c r="H171" s="4">
        <v>15292</v>
      </c>
      <c r="I171" s="4">
        <v>15237</v>
      </c>
      <c r="J171" s="1">
        <f t="shared" si="18"/>
        <v>14788.3333333333</v>
      </c>
      <c r="K171" s="9">
        <v>18664</v>
      </c>
      <c r="L171">
        <f t="shared" si="19"/>
        <v>0.105137457432753</v>
      </c>
      <c r="M171">
        <f t="shared" si="20"/>
        <v>0.109068020539916</v>
      </c>
      <c r="N171">
        <f t="shared" si="21"/>
        <v>0.110386153386222</v>
      </c>
      <c r="O171">
        <f t="shared" si="22"/>
        <v>0.107962678871498</v>
      </c>
      <c r="P171">
        <f t="shared" si="23"/>
        <v>0.0865404364387057</v>
      </c>
      <c r="Q171">
        <f t="shared" si="24"/>
        <v>0.0881052582374361</v>
      </c>
      <c r="R171">
        <f t="shared" si="25"/>
        <v>0.101200000817755</v>
      </c>
      <c r="S171">
        <f t="shared" si="26"/>
        <v>0.0108986570130576</v>
      </c>
    </row>
    <row r="172" spans="10:10">
      <c r="J172" s="1"/>
    </row>
    <row r="173" spans="10:10">
      <c r="J173" s="1"/>
    </row>
    <row r="174" spans="3:19">
      <c r="C174" t="s">
        <v>0</v>
      </c>
      <c r="D174">
        <v>8590</v>
      </c>
      <c r="E174">
        <v>8923</v>
      </c>
      <c r="F174">
        <v>8624</v>
      </c>
      <c r="G174">
        <v>8646</v>
      </c>
      <c r="H174">
        <v>8793</v>
      </c>
      <c r="I174">
        <v>8921</v>
      </c>
      <c r="J174" s="1">
        <f t="shared" si="18"/>
        <v>8749.5</v>
      </c>
      <c r="K174" s="9">
        <v>10812</v>
      </c>
      <c r="L174">
        <f t="shared" si="19"/>
        <v>0.0999128731954455</v>
      </c>
      <c r="M174">
        <f t="shared" si="20"/>
        <v>0.0833951440406912</v>
      </c>
      <c r="N174">
        <f t="shared" si="21"/>
        <v>0.0981972891840243</v>
      </c>
      <c r="O174">
        <f t="shared" si="22"/>
        <v>0.0970908058290549</v>
      </c>
      <c r="P174">
        <f t="shared" si="23"/>
        <v>0.0897689638685899</v>
      </c>
      <c r="Q174">
        <f t="shared" si="24"/>
        <v>0.0834924976573067</v>
      </c>
      <c r="R174">
        <f t="shared" si="25"/>
        <v>0.0919762622958521</v>
      </c>
      <c r="S174">
        <f t="shared" si="26"/>
        <v>0.00746098576551673</v>
      </c>
    </row>
    <row r="175" spans="3:19">
      <c r="C175">
        <v>20</v>
      </c>
      <c r="D175">
        <v>9200</v>
      </c>
      <c r="E175">
        <v>8867</v>
      </c>
      <c r="F175">
        <v>8944</v>
      </c>
      <c r="G175">
        <v>8956</v>
      </c>
      <c r="H175">
        <v>9092</v>
      </c>
      <c r="I175">
        <v>8883</v>
      </c>
      <c r="J175" s="1">
        <f t="shared" si="18"/>
        <v>8990.33333333333</v>
      </c>
      <c r="K175" s="9">
        <v>10812</v>
      </c>
      <c r="L175">
        <f t="shared" si="19"/>
        <v>0.0701182096811325</v>
      </c>
      <c r="M175">
        <f t="shared" si="20"/>
        <v>0.0861293285619495</v>
      </c>
      <c r="N175">
        <f t="shared" si="21"/>
        <v>0.0823742464843397</v>
      </c>
      <c r="O175">
        <f t="shared" si="22"/>
        <v>0.0817919521196951</v>
      </c>
      <c r="P175">
        <f t="shared" si="23"/>
        <v>0.0752466099737546</v>
      </c>
      <c r="Q175">
        <f t="shared" si="24"/>
        <v>0.0853463749177262</v>
      </c>
      <c r="R175">
        <f t="shared" si="25"/>
        <v>0.080167786956433</v>
      </c>
      <c r="S175">
        <f t="shared" si="26"/>
        <v>0.00624621667924001</v>
      </c>
    </row>
    <row r="176" spans="3:19">
      <c r="C176">
        <v>40</v>
      </c>
      <c r="D176">
        <v>9023</v>
      </c>
      <c r="E176">
        <v>9267</v>
      </c>
      <c r="F176">
        <v>8795</v>
      </c>
      <c r="G176">
        <v>9013</v>
      </c>
      <c r="H176">
        <v>9011</v>
      </c>
      <c r="I176">
        <v>9085</v>
      </c>
      <c r="J176" s="1">
        <f t="shared" si="18"/>
        <v>9032.33333333333</v>
      </c>
      <c r="K176" s="9">
        <v>10812</v>
      </c>
      <c r="L176">
        <f t="shared" si="19"/>
        <v>0.078555079659028</v>
      </c>
      <c r="M176">
        <f t="shared" si="20"/>
        <v>0.0669668740055748</v>
      </c>
      <c r="N176">
        <f t="shared" si="21"/>
        <v>0.0896701932332078</v>
      </c>
      <c r="O176">
        <f t="shared" si="22"/>
        <v>0.0790366659602095</v>
      </c>
      <c r="P176">
        <f t="shared" si="23"/>
        <v>0.0791330473369707</v>
      </c>
      <c r="Q176">
        <f t="shared" si="24"/>
        <v>0.0755811053826347</v>
      </c>
      <c r="R176">
        <f t="shared" si="25"/>
        <v>0.0781571609296042</v>
      </c>
      <c r="S176">
        <f t="shared" si="26"/>
        <v>0.00729784514964745</v>
      </c>
    </row>
    <row r="177" spans="3:19">
      <c r="C177">
        <v>60</v>
      </c>
      <c r="D177">
        <v>8903</v>
      </c>
      <c r="E177">
        <v>8967</v>
      </c>
      <c r="F177">
        <v>8867</v>
      </c>
      <c r="G177">
        <v>9085</v>
      </c>
      <c r="H177">
        <v>8977</v>
      </c>
      <c r="I177">
        <v>9082</v>
      </c>
      <c r="J177" s="1">
        <f t="shared" si="18"/>
        <v>8980.16666666667</v>
      </c>
      <c r="K177" s="9">
        <v>10812</v>
      </c>
      <c r="L177">
        <f t="shared" si="19"/>
        <v>0.0843696636505452</v>
      </c>
      <c r="M177">
        <f t="shared" si="20"/>
        <v>0.0812588672677447</v>
      </c>
      <c r="N177">
        <f t="shared" si="21"/>
        <v>0.0861293285619495</v>
      </c>
      <c r="O177">
        <f t="shared" si="22"/>
        <v>0.0755811053826347</v>
      </c>
      <c r="P177">
        <f t="shared" si="23"/>
        <v>0.0807748118432428</v>
      </c>
      <c r="Q177">
        <f t="shared" si="24"/>
        <v>0.07572453946174</v>
      </c>
      <c r="R177">
        <f t="shared" si="25"/>
        <v>0.0806397193613095</v>
      </c>
      <c r="S177">
        <f t="shared" si="26"/>
        <v>0.00434047132269407</v>
      </c>
    </row>
    <row r="178" spans="3:19">
      <c r="C178">
        <v>80</v>
      </c>
      <c r="D178">
        <v>8824</v>
      </c>
      <c r="E178">
        <v>8930</v>
      </c>
      <c r="F178">
        <v>9011</v>
      </c>
      <c r="G178">
        <v>8845</v>
      </c>
      <c r="H178">
        <v>8892</v>
      </c>
      <c r="I178">
        <v>8793</v>
      </c>
      <c r="J178" s="1">
        <f t="shared" si="18"/>
        <v>8882.5</v>
      </c>
      <c r="K178" s="9">
        <v>10812</v>
      </c>
      <c r="L178">
        <f t="shared" si="19"/>
        <v>0.0882405375945536</v>
      </c>
      <c r="M178">
        <f t="shared" si="20"/>
        <v>0.0830545781381414</v>
      </c>
      <c r="N178">
        <f t="shared" si="21"/>
        <v>0.0791330473369707</v>
      </c>
      <c r="O178">
        <f t="shared" si="22"/>
        <v>0.0872081997809459</v>
      </c>
      <c r="P178">
        <f t="shared" si="23"/>
        <v>0.0849065829997348</v>
      </c>
      <c r="Q178">
        <f t="shared" si="24"/>
        <v>0.0897689638685899</v>
      </c>
      <c r="R178">
        <f t="shared" si="25"/>
        <v>0.0853853182864894</v>
      </c>
      <c r="S178">
        <f t="shared" si="26"/>
        <v>0.0038844292236967</v>
      </c>
    </row>
    <row r="179" spans="3:19">
      <c r="C179">
        <v>100</v>
      </c>
      <c r="D179">
        <v>8920</v>
      </c>
      <c r="E179">
        <v>8830</v>
      </c>
      <c r="F179">
        <v>9046</v>
      </c>
      <c r="G179">
        <v>8824</v>
      </c>
      <c r="H179">
        <v>8819</v>
      </c>
      <c r="I179">
        <v>8737</v>
      </c>
      <c r="J179" s="1">
        <f t="shared" si="18"/>
        <v>8862.66666666667</v>
      </c>
      <c r="K179" s="9">
        <v>10812</v>
      </c>
      <c r="L179">
        <f t="shared" si="19"/>
        <v>0.0835411826505647</v>
      </c>
      <c r="M179">
        <f t="shared" si="20"/>
        <v>0.0879453334491192</v>
      </c>
      <c r="N179">
        <f t="shared" si="21"/>
        <v>0.077449453616788</v>
      </c>
      <c r="O179">
        <f t="shared" si="22"/>
        <v>0.0882405375945536</v>
      </c>
      <c r="P179">
        <f t="shared" si="23"/>
        <v>0.0884866944236246</v>
      </c>
      <c r="Q179">
        <f t="shared" si="24"/>
        <v>0.0925437013149267</v>
      </c>
      <c r="R179">
        <f t="shared" si="25"/>
        <v>0.0863678171749295</v>
      </c>
      <c r="S179">
        <f t="shared" si="26"/>
        <v>0.00521831191786453</v>
      </c>
    </row>
    <row r="180" spans="3:19">
      <c r="C180">
        <v>120</v>
      </c>
      <c r="D180">
        <v>9181</v>
      </c>
      <c r="E180">
        <v>8844</v>
      </c>
      <c r="F180">
        <v>8783</v>
      </c>
      <c r="G180">
        <v>8823</v>
      </c>
      <c r="H180">
        <v>9065</v>
      </c>
      <c r="I180">
        <v>9341</v>
      </c>
      <c r="J180" s="1">
        <f t="shared" si="18"/>
        <v>9006.16666666667</v>
      </c>
      <c r="K180" s="9">
        <v>10812</v>
      </c>
      <c r="L180">
        <f t="shared" si="19"/>
        <v>0.0710160496348966</v>
      </c>
      <c r="M180">
        <f t="shared" si="20"/>
        <v>0.0872573031200115</v>
      </c>
      <c r="N180">
        <f t="shared" si="21"/>
        <v>0.0902631542745587</v>
      </c>
      <c r="O180">
        <f t="shared" si="22"/>
        <v>0.088289757799956</v>
      </c>
      <c r="P180">
        <f t="shared" si="23"/>
        <v>0.0765382285951604</v>
      </c>
      <c r="Q180">
        <f t="shared" si="24"/>
        <v>0.0635126649470877</v>
      </c>
      <c r="R180">
        <f t="shared" si="25"/>
        <v>0.0794795263952785</v>
      </c>
      <c r="S180">
        <f t="shared" si="26"/>
        <v>0.0108593089517776</v>
      </c>
    </row>
    <row r="181" spans="3:19">
      <c r="C181">
        <v>140</v>
      </c>
      <c r="D181">
        <v>8803</v>
      </c>
      <c r="E181">
        <v>8867</v>
      </c>
      <c r="F181">
        <v>8542</v>
      </c>
      <c r="G181">
        <v>8909</v>
      </c>
      <c r="H181">
        <v>8751</v>
      </c>
      <c r="I181">
        <v>8782</v>
      </c>
      <c r="J181" s="1">
        <f t="shared" si="18"/>
        <v>8775.66666666667</v>
      </c>
      <c r="K181" s="9">
        <v>10812</v>
      </c>
      <c r="L181">
        <f t="shared" si="19"/>
        <v>0.0892753351704096</v>
      </c>
      <c r="M181">
        <f t="shared" si="20"/>
        <v>0.0861293285619495</v>
      </c>
      <c r="N181">
        <f t="shared" si="21"/>
        <v>0.102346469935883</v>
      </c>
      <c r="O181">
        <f t="shared" si="22"/>
        <v>0.0840770780913742</v>
      </c>
      <c r="P181">
        <f t="shared" si="23"/>
        <v>0.0918483531852927</v>
      </c>
      <c r="Q181">
        <f t="shared" si="24"/>
        <v>0.0903126042583188</v>
      </c>
      <c r="R181">
        <f t="shared" si="25"/>
        <v>0.0906648615338712</v>
      </c>
      <c r="S181">
        <f t="shared" si="26"/>
        <v>0.00638569410596041</v>
      </c>
    </row>
    <row r="182" spans="2:19">
      <c r="B182" s="18" t="s">
        <v>33</v>
      </c>
      <c r="C182">
        <v>160</v>
      </c>
      <c r="D182">
        <v>8488</v>
      </c>
      <c r="E182">
        <v>8717</v>
      </c>
      <c r="F182">
        <v>8591</v>
      </c>
      <c r="G182">
        <v>8673</v>
      </c>
      <c r="H182">
        <v>8496</v>
      </c>
      <c r="I182">
        <v>8671</v>
      </c>
      <c r="J182" s="1">
        <f t="shared" si="18"/>
        <v>8606</v>
      </c>
      <c r="K182" s="9">
        <v>10812</v>
      </c>
      <c r="L182">
        <f t="shared" si="19"/>
        <v>0.105100666133404</v>
      </c>
      <c r="M182">
        <f t="shared" si="20"/>
        <v>0.0935389910410226</v>
      </c>
      <c r="N182">
        <f t="shared" si="21"/>
        <v>0.0998623179911624</v>
      </c>
      <c r="O182">
        <f t="shared" si="22"/>
        <v>0.0957366906363675</v>
      </c>
      <c r="P182">
        <f t="shared" si="23"/>
        <v>0.104691533289294</v>
      </c>
      <c r="Q182">
        <f t="shared" si="24"/>
        <v>0.0958368508033021</v>
      </c>
      <c r="R182">
        <f t="shared" si="25"/>
        <v>0.099127841649092</v>
      </c>
      <c r="S182">
        <f t="shared" si="26"/>
        <v>0.00491395013288086</v>
      </c>
    </row>
    <row r="183" spans="3:19">
      <c r="C183">
        <v>180</v>
      </c>
      <c r="D183">
        <v>8475</v>
      </c>
      <c r="E183">
        <v>8808</v>
      </c>
      <c r="F183">
        <v>8376</v>
      </c>
      <c r="G183">
        <v>8393</v>
      </c>
      <c r="H183">
        <v>8686</v>
      </c>
      <c r="I183">
        <v>8701</v>
      </c>
      <c r="J183" s="1">
        <f t="shared" si="18"/>
        <v>8573.16666666667</v>
      </c>
      <c r="K183" s="9">
        <v>10812</v>
      </c>
      <c r="L183">
        <f t="shared" si="19"/>
        <v>0.105766330151568</v>
      </c>
      <c r="M183">
        <f t="shared" si="20"/>
        <v>0.0890287310629924</v>
      </c>
      <c r="N183">
        <f t="shared" si="21"/>
        <v>0.110869368355902</v>
      </c>
      <c r="O183">
        <f t="shared" si="22"/>
        <v>0.109988813913582</v>
      </c>
      <c r="P183">
        <f t="shared" si="23"/>
        <v>0.0950862120004775</v>
      </c>
      <c r="Q183">
        <f t="shared" si="24"/>
        <v>0.0943368683707862</v>
      </c>
      <c r="R183">
        <f t="shared" si="25"/>
        <v>0.100846053975885</v>
      </c>
      <c r="S183">
        <f t="shared" si="26"/>
        <v>0.0092028300618329</v>
      </c>
    </row>
    <row r="184" spans="3:19">
      <c r="C184">
        <v>200</v>
      </c>
      <c r="D184">
        <v>8688</v>
      </c>
      <c r="E184">
        <v>8298</v>
      </c>
      <c r="F184">
        <v>8496</v>
      </c>
      <c r="G184">
        <v>8457</v>
      </c>
      <c r="H184">
        <v>8502</v>
      </c>
      <c r="I184">
        <v>8320</v>
      </c>
      <c r="J184" s="1">
        <f t="shared" si="18"/>
        <v>8460.16666666667</v>
      </c>
      <c r="K184" s="9">
        <v>10812</v>
      </c>
      <c r="L184">
        <f t="shared" si="19"/>
        <v>0.094986224781916</v>
      </c>
      <c r="M184">
        <f t="shared" si="20"/>
        <v>0.114932606533734</v>
      </c>
      <c r="N184">
        <f t="shared" si="21"/>
        <v>0.104691533289294</v>
      </c>
      <c r="O184">
        <f t="shared" si="22"/>
        <v>0.106689706435423</v>
      </c>
      <c r="P184">
        <f t="shared" si="23"/>
        <v>0.104384936395584</v>
      </c>
      <c r="Q184">
        <f t="shared" si="24"/>
        <v>0.113782710735964</v>
      </c>
      <c r="R184">
        <f t="shared" si="25"/>
        <v>0.106577953028652</v>
      </c>
      <c r="S184">
        <f t="shared" si="26"/>
        <v>0.00727265182401985</v>
      </c>
    </row>
    <row r="185" spans="3:19">
      <c r="C185">
        <v>250</v>
      </c>
      <c r="D185">
        <v>8636</v>
      </c>
      <c r="E185">
        <v>8708</v>
      </c>
      <c r="F185">
        <v>8997</v>
      </c>
      <c r="G185">
        <v>8548</v>
      </c>
      <c r="H185">
        <v>8473</v>
      </c>
      <c r="I185">
        <v>8513</v>
      </c>
      <c r="J185" s="1">
        <f t="shared" si="18"/>
        <v>8645.83333333333</v>
      </c>
      <c r="K185" s="9">
        <v>10812</v>
      </c>
      <c r="L185">
        <f t="shared" si="19"/>
        <v>0.0975934033644946</v>
      </c>
      <c r="M185">
        <f t="shared" si="20"/>
        <v>0.0939876166576311</v>
      </c>
      <c r="N185">
        <f t="shared" si="21"/>
        <v>0.0798083165474982</v>
      </c>
      <c r="O185">
        <f t="shared" si="22"/>
        <v>0.102041523534656</v>
      </c>
      <c r="P185">
        <f t="shared" si="23"/>
        <v>0.105868830619805</v>
      </c>
      <c r="Q185">
        <f t="shared" si="24"/>
        <v>0.103823403634317</v>
      </c>
      <c r="R185">
        <f t="shared" si="25"/>
        <v>0.0971871823930669</v>
      </c>
      <c r="S185">
        <f t="shared" si="26"/>
        <v>0.00954360823447647</v>
      </c>
    </row>
    <row r="186" spans="3:19">
      <c r="C186">
        <v>300</v>
      </c>
      <c r="D186">
        <v>8332</v>
      </c>
      <c r="E186">
        <v>8328</v>
      </c>
      <c r="F186">
        <v>8229</v>
      </c>
      <c r="G186">
        <v>8245</v>
      </c>
      <c r="H186">
        <v>8399</v>
      </c>
      <c r="I186">
        <v>8450</v>
      </c>
      <c r="J186" s="1">
        <f t="shared" si="18"/>
        <v>8330.5</v>
      </c>
      <c r="K186" s="9">
        <v>10812</v>
      </c>
      <c r="L186">
        <f t="shared" si="19"/>
        <v>0.11315677575098</v>
      </c>
      <c r="M186">
        <f t="shared" si="20"/>
        <v>0.113365320524208</v>
      </c>
      <c r="N186">
        <f t="shared" si="21"/>
        <v>0.118558974702496</v>
      </c>
      <c r="O186">
        <f t="shared" si="22"/>
        <v>0.11771537704615</v>
      </c>
      <c r="P186">
        <f t="shared" si="23"/>
        <v>0.10967845576657</v>
      </c>
      <c r="Q186">
        <f t="shared" si="24"/>
        <v>0.107049328076995</v>
      </c>
      <c r="R186">
        <f t="shared" si="25"/>
        <v>0.113254038644567</v>
      </c>
      <c r="S186">
        <f t="shared" si="26"/>
        <v>0.00445759928176859</v>
      </c>
    </row>
    <row r="187" spans="3:19">
      <c r="C187">
        <v>350</v>
      </c>
      <c r="D187">
        <v>8270</v>
      </c>
      <c r="E187">
        <v>8250</v>
      </c>
      <c r="F187">
        <v>8447</v>
      </c>
      <c r="G187">
        <v>8303</v>
      </c>
      <c r="H187">
        <v>8328</v>
      </c>
      <c r="I187">
        <v>8634</v>
      </c>
      <c r="J187" s="1">
        <f t="shared" si="18"/>
        <v>8372</v>
      </c>
      <c r="K187" s="9">
        <v>10812</v>
      </c>
      <c r="L187">
        <f t="shared" si="19"/>
        <v>0.116400527474141</v>
      </c>
      <c r="M187">
        <f t="shared" si="20"/>
        <v>0.117452088476763</v>
      </c>
      <c r="N187">
        <f t="shared" si="21"/>
        <v>0.107203542844043</v>
      </c>
      <c r="O187">
        <f t="shared" si="22"/>
        <v>0.114670999103437</v>
      </c>
      <c r="P187">
        <f t="shared" si="23"/>
        <v>0.113365320524208</v>
      </c>
      <c r="Q187">
        <f t="shared" si="24"/>
        <v>0.097693992706439</v>
      </c>
      <c r="R187">
        <f t="shared" si="25"/>
        <v>0.111131078521505</v>
      </c>
      <c r="S187">
        <f t="shared" si="26"/>
        <v>0.00749967927142381</v>
      </c>
    </row>
    <row r="188" spans="3:19">
      <c r="C188">
        <v>400</v>
      </c>
      <c r="D188">
        <v>8316</v>
      </c>
      <c r="E188">
        <v>8215</v>
      </c>
      <c r="F188">
        <v>8259</v>
      </c>
      <c r="G188">
        <v>8222</v>
      </c>
      <c r="H188">
        <v>8256</v>
      </c>
      <c r="I188">
        <v>8615</v>
      </c>
      <c r="J188" s="1">
        <f t="shared" si="18"/>
        <v>8313.83333333333</v>
      </c>
      <c r="K188" s="9">
        <v>10812</v>
      </c>
      <c r="L188">
        <f t="shared" si="19"/>
        <v>0.113991556367256</v>
      </c>
      <c r="M188">
        <f t="shared" si="20"/>
        <v>0.119298469255607</v>
      </c>
      <c r="N188">
        <f t="shared" si="21"/>
        <v>0.116978570913695</v>
      </c>
      <c r="O188">
        <f t="shared" si="22"/>
        <v>0.118928564582357</v>
      </c>
      <c r="P188">
        <f t="shared" si="23"/>
        <v>0.117136352743552</v>
      </c>
      <c r="Q188">
        <f t="shared" si="24"/>
        <v>0.0986507552426405</v>
      </c>
      <c r="R188">
        <f t="shared" si="25"/>
        <v>0.114164044850851</v>
      </c>
      <c r="S188">
        <f t="shared" si="26"/>
        <v>0.00782957265950946</v>
      </c>
    </row>
    <row r="189" spans="3:19">
      <c r="C189">
        <v>450</v>
      </c>
      <c r="D189">
        <v>8292</v>
      </c>
      <c r="E189">
        <v>8329</v>
      </c>
      <c r="F189">
        <v>8196</v>
      </c>
      <c r="G189">
        <v>8316</v>
      </c>
      <c r="H189">
        <v>8242</v>
      </c>
      <c r="I189">
        <v>8262</v>
      </c>
      <c r="J189" s="1">
        <f t="shared" si="18"/>
        <v>8272.83333333333</v>
      </c>
      <c r="K189" s="9">
        <v>10812</v>
      </c>
      <c r="L189">
        <f t="shared" si="19"/>
        <v>0.115246743604865</v>
      </c>
      <c r="M189">
        <f t="shared" si="20"/>
        <v>0.113313174941879</v>
      </c>
      <c r="N189">
        <f t="shared" si="21"/>
        <v>0.12030408729753</v>
      </c>
      <c r="O189">
        <f t="shared" si="22"/>
        <v>0.113991556367256</v>
      </c>
      <c r="P189">
        <f t="shared" si="23"/>
        <v>0.117873426838118</v>
      </c>
      <c r="Q189">
        <f t="shared" si="24"/>
        <v>0.116820846386121</v>
      </c>
      <c r="R189">
        <f t="shared" si="25"/>
        <v>0.116258305905962</v>
      </c>
      <c r="S189">
        <f t="shared" si="26"/>
        <v>0.00261260875913296</v>
      </c>
    </row>
    <row r="190" spans="3:19">
      <c r="C190">
        <v>500</v>
      </c>
      <c r="D190">
        <v>8154</v>
      </c>
      <c r="E190">
        <v>8088</v>
      </c>
      <c r="F190">
        <v>8085</v>
      </c>
      <c r="G190">
        <v>8112</v>
      </c>
      <c r="H190">
        <v>8553</v>
      </c>
      <c r="I190">
        <v>8458</v>
      </c>
      <c r="J190" s="1">
        <f t="shared" si="18"/>
        <v>8241.66666666667</v>
      </c>
      <c r="K190" s="9">
        <v>10812</v>
      </c>
      <c r="L190">
        <f t="shared" si="19"/>
        <v>0.12253532991055</v>
      </c>
      <c r="M190">
        <f t="shared" si="20"/>
        <v>0.126064894443743</v>
      </c>
      <c r="N190">
        <f t="shared" si="21"/>
        <v>0.126226012784268</v>
      </c>
      <c r="O190">
        <f t="shared" si="22"/>
        <v>0.124778095037427</v>
      </c>
      <c r="P190">
        <f t="shared" si="23"/>
        <v>0.101787564997565</v>
      </c>
      <c r="Q190">
        <f t="shared" si="24"/>
        <v>0.106638356215806</v>
      </c>
      <c r="R190">
        <f t="shared" si="25"/>
        <v>0.11800504223156</v>
      </c>
      <c r="S190">
        <f t="shared" si="26"/>
        <v>0.0108733752265988</v>
      </c>
    </row>
    <row r="191" spans="10:10">
      <c r="J191" s="1"/>
    </row>
    <row r="192" spans="10:10">
      <c r="J192" s="1"/>
    </row>
    <row r="193" spans="3:19">
      <c r="C193" t="s">
        <v>0</v>
      </c>
      <c r="D193">
        <v>3857</v>
      </c>
      <c r="E193">
        <v>4066</v>
      </c>
      <c r="F193">
        <v>3886</v>
      </c>
      <c r="G193">
        <v>3881</v>
      </c>
      <c r="H193">
        <v>3996</v>
      </c>
      <c r="I193">
        <v>4067</v>
      </c>
      <c r="J193" s="1">
        <f t="shared" si="18"/>
        <v>3958.83333333333</v>
      </c>
      <c r="K193" s="9">
        <v>5432</v>
      </c>
      <c r="L193">
        <f t="shared" si="19"/>
        <v>0.148710122406403</v>
      </c>
      <c r="M193">
        <f t="shared" si="20"/>
        <v>0.125792386970425</v>
      </c>
      <c r="N193">
        <f t="shared" si="21"/>
        <v>0.145456965008682</v>
      </c>
      <c r="O193">
        <f t="shared" si="22"/>
        <v>0.14601611853243</v>
      </c>
      <c r="P193">
        <f t="shared" si="23"/>
        <v>0.133334281718501</v>
      </c>
      <c r="Q193">
        <f t="shared" si="24"/>
        <v>0.125685588867858</v>
      </c>
      <c r="R193">
        <f t="shared" si="25"/>
        <v>0.137499243917383</v>
      </c>
      <c r="S193">
        <f t="shared" si="26"/>
        <v>0.0105404566314248</v>
      </c>
    </row>
    <row r="194" spans="3:19">
      <c r="C194">
        <v>20</v>
      </c>
      <c r="D194">
        <v>4208</v>
      </c>
      <c r="E194">
        <v>4017</v>
      </c>
      <c r="F194">
        <v>4041</v>
      </c>
      <c r="G194">
        <v>4068</v>
      </c>
      <c r="H194">
        <v>4139</v>
      </c>
      <c r="I194">
        <v>4030</v>
      </c>
      <c r="J194" s="1">
        <f t="shared" si="18"/>
        <v>4083.83333333333</v>
      </c>
      <c r="K194" s="9">
        <v>5432</v>
      </c>
      <c r="L194">
        <f t="shared" si="19"/>
        <v>0.110884030126763</v>
      </c>
      <c r="M194">
        <f t="shared" si="20"/>
        <v>0.131057929540774</v>
      </c>
      <c r="N194">
        <f t="shared" si="21"/>
        <v>0.128470910829797</v>
      </c>
      <c r="O194">
        <f t="shared" si="22"/>
        <v>0.125578817021738</v>
      </c>
      <c r="P194">
        <f t="shared" si="23"/>
        <v>0.118064334871685</v>
      </c>
      <c r="Q194">
        <f t="shared" si="24"/>
        <v>0.129654715131336</v>
      </c>
      <c r="R194">
        <f t="shared" si="25"/>
        <v>0.123951789587016</v>
      </c>
      <c r="S194">
        <f t="shared" si="26"/>
        <v>0.00789327207465769</v>
      </c>
    </row>
    <row r="195" spans="3:19">
      <c r="C195">
        <v>40</v>
      </c>
      <c r="D195">
        <v>4106</v>
      </c>
      <c r="E195">
        <v>4248</v>
      </c>
      <c r="F195">
        <v>3964</v>
      </c>
      <c r="G195">
        <v>4108</v>
      </c>
      <c r="H195">
        <v>4093</v>
      </c>
      <c r="I195">
        <v>4132</v>
      </c>
      <c r="J195" s="1">
        <f t="shared" si="18"/>
        <v>4108.5</v>
      </c>
      <c r="K195" s="9">
        <v>5432</v>
      </c>
      <c r="L195">
        <f t="shared" si="19"/>
        <v>0.121540816237872</v>
      </c>
      <c r="M195">
        <f t="shared" si="20"/>
        <v>0.106775253199033</v>
      </c>
      <c r="N195">
        <f t="shared" si="21"/>
        <v>0.136826115459208</v>
      </c>
      <c r="O195">
        <f t="shared" si="22"/>
        <v>0.121329326347205</v>
      </c>
      <c r="P195">
        <f t="shared" si="23"/>
        <v>0.122918016627176</v>
      </c>
      <c r="Q195">
        <f t="shared" si="24"/>
        <v>0.118799448424862</v>
      </c>
      <c r="R195">
        <f t="shared" si="25"/>
        <v>0.121364829382559</v>
      </c>
      <c r="S195">
        <f t="shared" si="26"/>
        <v>0.00960138429886652</v>
      </c>
    </row>
    <row r="196" spans="3:19">
      <c r="C196">
        <v>60</v>
      </c>
      <c r="D196">
        <v>4002</v>
      </c>
      <c r="E196">
        <v>4034</v>
      </c>
      <c r="F196">
        <v>3972</v>
      </c>
      <c r="G196">
        <v>4095</v>
      </c>
      <c r="H196">
        <v>4035</v>
      </c>
      <c r="I196">
        <v>4098</v>
      </c>
      <c r="J196" s="1">
        <f t="shared" si="18"/>
        <v>4039.33333333333</v>
      </c>
      <c r="K196" s="9">
        <v>5432</v>
      </c>
      <c r="L196">
        <f t="shared" si="19"/>
        <v>0.132682676972253</v>
      </c>
      <c r="M196">
        <f t="shared" si="20"/>
        <v>0.129223867395699</v>
      </c>
      <c r="N196">
        <f t="shared" si="21"/>
        <v>0.135950521449102</v>
      </c>
      <c r="O196">
        <f t="shared" si="22"/>
        <v>0.122705855176008</v>
      </c>
      <c r="P196">
        <f t="shared" si="23"/>
        <v>0.129116222214356</v>
      </c>
      <c r="Q196">
        <f t="shared" si="24"/>
        <v>0.122387807207269</v>
      </c>
      <c r="R196">
        <f t="shared" si="25"/>
        <v>0.128677825069114</v>
      </c>
      <c r="S196">
        <f t="shared" si="26"/>
        <v>0.00537866256215115</v>
      </c>
    </row>
    <row r="197" spans="3:19">
      <c r="C197">
        <v>80</v>
      </c>
      <c r="D197">
        <v>3983</v>
      </c>
      <c r="E197">
        <v>4047</v>
      </c>
      <c r="F197">
        <v>4080</v>
      </c>
      <c r="G197">
        <v>3999</v>
      </c>
      <c r="H197">
        <v>4030</v>
      </c>
      <c r="I197">
        <v>3938</v>
      </c>
      <c r="J197" s="1">
        <f t="shared" si="18"/>
        <v>4012.83333333333</v>
      </c>
      <c r="K197" s="9">
        <v>5432</v>
      </c>
      <c r="L197">
        <f t="shared" si="19"/>
        <v>0.134749454863117</v>
      </c>
      <c r="M197">
        <f t="shared" si="20"/>
        <v>0.127826556880879</v>
      </c>
      <c r="N197">
        <f t="shared" si="21"/>
        <v>0.124299598182565</v>
      </c>
      <c r="O197">
        <f t="shared" si="22"/>
        <v>0.133008357138924</v>
      </c>
      <c r="P197">
        <f t="shared" si="23"/>
        <v>0.129654715131336</v>
      </c>
      <c r="Q197">
        <f t="shared" si="24"/>
        <v>0.139684049470346</v>
      </c>
      <c r="R197">
        <f t="shared" si="25"/>
        <v>0.131537121944528</v>
      </c>
      <c r="S197">
        <f t="shared" si="26"/>
        <v>0.00545067963826369</v>
      </c>
    </row>
    <row r="198" spans="3:19">
      <c r="C198">
        <v>100</v>
      </c>
      <c r="D198">
        <v>3997</v>
      </c>
      <c r="E198">
        <v>3969</v>
      </c>
      <c r="F198">
        <v>4120</v>
      </c>
      <c r="G198">
        <v>3969</v>
      </c>
      <c r="H198">
        <v>3952</v>
      </c>
      <c r="I198">
        <v>3898</v>
      </c>
      <c r="J198" s="1">
        <f t="shared" si="18"/>
        <v>3984.16666666667</v>
      </c>
      <c r="K198" s="9">
        <v>5432</v>
      </c>
      <c r="L198">
        <f t="shared" si="19"/>
        <v>0.13322561301234</v>
      </c>
      <c r="M198">
        <f t="shared" si="20"/>
        <v>0.136278662365282</v>
      </c>
      <c r="N198">
        <f t="shared" si="21"/>
        <v>0.120062545239311</v>
      </c>
      <c r="O198">
        <f t="shared" si="22"/>
        <v>0.136278662365282</v>
      </c>
      <c r="P198">
        <f t="shared" si="23"/>
        <v>0.138142825356855</v>
      </c>
      <c r="Q198">
        <f t="shared" si="24"/>
        <v>0.144117926490843</v>
      </c>
      <c r="R198">
        <f t="shared" si="25"/>
        <v>0.134684372471652</v>
      </c>
      <c r="S198">
        <f t="shared" si="26"/>
        <v>0.0080244896298093</v>
      </c>
    </row>
    <row r="199" spans="3:19">
      <c r="C199">
        <v>120</v>
      </c>
      <c r="D199">
        <v>4199</v>
      </c>
      <c r="E199">
        <v>3986</v>
      </c>
      <c r="F199">
        <v>3945</v>
      </c>
      <c r="G199">
        <v>3977</v>
      </c>
      <c r="H199">
        <v>4129</v>
      </c>
      <c r="I199">
        <v>4287</v>
      </c>
      <c r="J199" s="1">
        <f t="shared" si="18"/>
        <v>4087.16666666667</v>
      </c>
      <c r="K199" s="9">
        <v>5432</v>
      </c>
      <c r="L199">
        <f t="shared" si="19"/>
        <v>0.111813886634506</v>
      </c>
      <c r="M199">
        <f t="shared" si="20"/>
        <v>0.134422466907976</v>
      </c>
      <c r="N199">
        <f t="shared" si="21"/>
        <v>0.138912753727006</v>
      </c>
      <c r="O199">
        <f t="shared" si="22"/>
        <v>0.135404170286465</v>
      </c>
      <c r="P199">
        <f t="shared" si="23"/>
        <v>0.119114878397743</v>
      </c>
      <c r="Q199">
        <f t="shared" si="24"/>
        <v>0.102806277761813</v>
      </c>
      <c r="R199">
        <f t="shared" si="25"/>
        <v>0.123745738952585</v>
      </c>
      <c r="S199">
        <f t="shared" si="26"/>
        <v>0.0147120690750584</v>
      </c>
    </row>
    <row r="200" spans="3:19">
      <c r="C200">
        <v>140</v>
      </c>
      <c r="D200">
        <v>3975</v>
      </c>
      <c r="E200">
        <v>3997</v>
      </c>
      <c r="F200">
        <v>3794</v>
      </c>
      <c r="G200">
        <v>4019</v>
      </c>
      <c r="H200">
        <v>3927</v>
      </c>
      <c r="I200">
        <v>3947</v>
      </c>
      <c r="J200" s="1">
        <f t="shared" si="18"/>
        <v>3943.16666666667</v>
      </c>
      <c r="K200" s="9">
        <v>5432</v>
      </c>
      <c r="L200">
        <f t="shared" si="19"/>
        <v>0.135622628279956</v>
      </c>
      <c r="M200">
        <f t="shared" si="20"/>
        <v>0.13322561301234</v>
      </c>
      <c r="N200">
        <f t="shared" si="21"/>
        <v>0.155862434719801</v>
      </c>
      <c r="O200">
        <f t="shared" si="22"/>
        <v>0.13084175508041</v>
      </c>
      <c r="P200">
        <f t="shared" si="23"/>
        <v>0.140898860002027</v>
      </c>
      <c r="Q200">
        <f t="shared" si="24"/>
        <v>0.13869263487693</v>
      </c>
      <c r="R200">
        <f t="shared" si="25"/>
        <v>0.139190654328578</v>
      </c>
      <c r="S200">
        <f t="shared" si="26"/>
        <v>0.00893454976878327</v>
      </c>
    </row>
    <row r="201" spans="2:19">
      <c r="B201" s="19" t="s">
        <v>34</v>
      </c>
      <c r="C201">
        <v>160</v>
      </c>
      <c r="D201">
        <v>3762</v>
      </c>
      <c r="E201">
        <v>3889</v>
      </c>
      <c r="F201">
        <v>3830</v>
      </c>
      <c r="G201">
        <v>3870</v>
      </c>
      <c r="H201">
        <v>3768</v>
      </c>
      <c r="I201">
        <v>3867</v>
      </c>
      <c r="J201" s="1">
        <f t="shared" si="18"/>
        <v>3831</v>
      </c>
      <c r="K201" s="9">
        <v>5432</v>
      </c>
      <c r="L201">
        <f t="shared" si="19"/>
        <v>0.159540970058085</v>
      </c>
      <c r="M201">
        <f t="shared" si="20"/>
        <v>0.145121818124986</v>
      </c>
      <c r="N201">
        <f t="shared" si="21"/>
        <v>0.151760987303822</v>
      </c>
      <c r="O201">
        <f t="shared" si="22"/>
        <v>0.147248796253534</v>
      </c>
      <c r="P201">
        <f t="shared" si="23"/>
        <v>0.158848867151605</v>
      </c>
      <c r="Q201">
        <f t="shared" si="24"/>
        <v>0.14758558919938</v>
      </c>
      <c r="R201">
        <f t="shared" si="25"/>
        <v>0.151684504681902</v>
      </c>
      <c r="S201">
        <f t="shared" si="26"/>
        <v>0.00620650400200637</v>
      </c>
    </row>
    <row r="202" spans="3:19">
      <c r="C202">
        <v>180</v>
      </c>
      <c r="D202">
        <v>3738</v>
      </c>
      <c r="E202">
        <v>3925</v>
      </c>
      <c r="F202">
        <v>3658</v>
      </c>
      <c r="G202">
        <v>3684</v>
      </c>
      <c r="H202">
        <v>3865</v>
      </c>
      <c r="I202">
        <v>3872</v>
      </c>
      <c r="J202" s="1">
        <f t="shared" si="18"/>
        <v>3790.33333333333</v>
      </c>
      <c r="K202" s="9">
        <v>5432</v>
      </c>
      <c r="L202">
        <f t="shared" si="19"/>
        <v>0.162320464229632</v>
      </c>
      <c r="M202">
        <f t="shared" si="20"/>
        <v>0.141120100191174</v>
      </c>
      <c r="N202">
        <f t="shared" si="21"/>
        <v>0.171716060132047</v>
      </c>
      <c r="O202">
        <f t="shared" si="22"/>
        <v>0.168640139747634</v>
      </c>
      <c r="P202">
        <f t="shared" si="23"/>
        <v>0.147810263018102</v>
      </c>
      <c r="Q202">
        <f t="shared" si="24"/>
        <v>0.147024412636089</v>
      </c>
      <c r="R202">
        <f t="shared" si="25"/>
        <v>0.15643857332578</v>
      </c>
      <c r="S202">
        <f t="shared" si="26"/>
        <v>0.0127640608452009</v>
      </c>
    </row>
    <row r="203" spans="3:19">
      <c r="C203">
        <v>200</v>
      </c>
      <c r="D203">
        <v>3862</v>
      </c>
      <c r="E203">
        <v>3623</v>
      </c>
      <c r="F203">
        <v>3738</v>
      </c>
      <c r="G203">
        <v>3731</v>
      </c>
      <c r="H203">
        <v>3739</v>
      </c>
      <c r="I203">
        <v>3625</v>
      </c>
      <c r="J203" s="1">
        <f t="shared" si="18"/>
        <v>3719.66666666667</v>
      </c>
      <c r="K203" s="9">
        <v>5432</v>
      </c>
      <c r="L203">
        <f t="shared" si="19"/>
        <v>0.148147491829069</v>
      </c>
      <c r="M203">
        <f t="shared" si="20"/>
        <v>0.175891427237908</v>
      </c>
      <c r="N203">
        <f t="shared" si="21"/>
        <v>0.162320464229632</v>
      </c>
      <c r="O203">
        <f t="shared" si="22"/>
        <v>0.163134512231616</v>
      </c>
      <c r="P203">
        <f t="shared" si="23"/>
        <v>0.162204296118226</v>
      </c>
      <c r="Q203">
        <f t="shared" si="24"/>
        <v>0.175651750365433</v>
      </c>
      <c r="R203">
        <f t="shared" si="25"/>
        <v>0.164558323668647</v>
      </c>
      <c r="S203">
        <f t="shared" si="26"/>
        <v>0.010328557049662</v>
      </c>
    </row>
    <row r="204" spans="3:19">
      <c r="C204">
        <v>250</v>
      </c>
      <c r="D204">
        <v>3855</v>
      </c>
      <c r="E204">
        <v>3885</v>
      </c>
      <c r="F204">
        <v>4079</v>
      </c>
      <c r="G204">
        <v>3779</v>
      </c>
      <c r="H204">
        <v>3752</v>
      </c>
      <c r="I204">
        <v>3779</v>
      </c>
      <c r="J204" s="1">
        <f t="shared" ref="J204:J209" si="27">AVERAGE(D204:I204)</f>
        <v>3854.83333333333</v>
      </c>
      <c r="K204" s="9">
        <v>5432</v>
      </c>
      <c r="L204">
        <f t="shared" ref="L204:L209" si="28">LOG10(K204/D204)</f>
        <v>0.14893537888547</v>
      </c>
      <c r="M204">
        <f t="shared" ref="M204:M209" si="29">LOG10(K204/E204)</f>
        <v>0.145568738135512</v>
      </c>
      <c r="N204">
        <f t="shared" ref="N204:N209" si="30">LOG10(K204/F204)</f>
        <v>0.124406055955351</v>
      </c>
      <c r="O204">
        <f t="shared" ref="O204:O209" si="31">LOG10(K204/G204)</f>
        <v>0.157582869355431</v>
      </c>
      <c r="P204">
        <f t="shared" ref="P204:P209" si="32">LOG10(K204/H204)</f>
        <v>0.160696931565418</v>
      </c>
      <c r="Q204">
        <f t="shared" ref="Q204:Q209" si="33">LOG10(K204/I204)</f>
        <v>0.157582869355431</v>
      </c>
      <c r="R204">
        <f t="shared" ref="R204:R209" si="34">AVERAGE(L204:Q204)</f>
        <v>0.149128807208769</v>
      </c>
      <c r="S204">
        <f t="shared" ref="S204:S209" si="35">STDEV(L204:Q204)</f>
        <v>0.0134215481264358</v>
      </c>
    </row>
    <row r="205" spans="3:19">
      <c r="C205">
        <v>300</v>
      </c>
      <c r="D205">
        <v>3632</v>
      </c>
      <c r="E205">
        <v>3628</v>
      </c>
      <c r="F205">
        <v>3568</v>
      </c>
      <c r="G205">
        <v>3570</v>
      </c>
      <c r="H205">
        <v>3675</v>
      </c>
      <c r="I205">
        <v>3719</v>
      </c>
      <c r="J205" s="1">
        <f t="shared" si="27"/>
        <v>3632</v>
      </c>
      <c r="K205" s="9">
        <v>5432</v>
      </c>
      <c r="L205">
        <f t="shared" si="28"/>
        <v>0.174813921423398</v>
      </c>
      <c r="M205">
        <f t="shared" si="29"/>
        <v>0.175292482884388</v>
      </c>
      <c r="N205">
        <f t="shared" si="30"/>
        <v>0.18253491556836</v>
      </c>
      <c r="O205">
        <f t="shared" si="31"/>
        <v>0.182291545160252</v>
      </c>
      <c r="P205">
        <f t="shared" si="32"/>
        <v>0.169702417852232</v>
      </c>
      <c r="Q205">
        <f t="shared" si="33"/>
        <v>0.164533582913473</v>
      </c>
      <c r="R205">
        <f t="shared" si="34"/>
        <v>0.174861477633684</v>
      </c>
      <c r="S205">
        <f t="shared" si="35"/>
        <v>0.0070364321568011</v>
      </c>
    </row>
    <row r="206" spans="3:19">
      <c r="C206">
        <v>350</v>
      </c>
      <c r="D206">
        <v>3597</v>
      </c>
      <c r="E206">
        <v>3592</v>
      </c>
      <c r="F206">
        <v>3715</v>
      </c>
      <c r="G206">
        <v>3612</v>
      </c>
      <c r="H206">
        <v>3622</v>
      </c>
      <c r="I206">
        <v>3812</v>
      </c>
      <c r="J206" s="1">
        <f t="shared" si="27"/>
        <v>3658.33333333333</v>
      </c>
      <c r="K206" s="9">
        <v>5432</v>
      </c>
      <c r="L206">
        <f t="shared" si="28"/>
        <v>0.179019323453934</v>
      </c>
      <c r="M206">
        <f t="shared" si="29"/>
        <v>0.179623433277179</v>
      </c>
      <c r="N206">
        <f t="shared" si="30"/>
        <v>0.165000943175851</v>
      </c>
      <c r="O206">
        <f t="shared" si="31"/>
        <v>0.177212019630977</v>
      </c>
      <c r="P206">
        <f t="shared" si="32"/>
        <v>0.176011315294406</v>
      </c>
      <c r="Q206">
        <f t="shared" si="33"/>
        <v>0.153806869306157</v>
      </c>
      <c r="R206">
        <f t="shared" si="34"/>
        <v>0.171778984023084</v>
      </c>
      <c r="S206">
        <f t="shared" si="35"/>
        <v>0.0102988071950686</v>
      </c>
    </row>
    <row r="207" spans="3:19">
      <c r="C207">
        <v>400</v>
      </c>
      <c r="D207">
        <v>3631</v>
      </c>
      <c r="E207">
        <v>3567</v>
      </c>
      <c r="F207">
        <v>3576</v>
      </c>
      <c r="G207">
        <v>3564</v>
      </c>
      <c r="H207">
        <v>3581</v>
      </c>
      <c r="I207">
        <v>3800</v>
      </c>
      <c r="J207" s="1">
        <f t="shared" si="27"/>
        <v>3619.83333333333</v>
      </c>
      <c r="K207" s="9">
        <v>5432</v>
      </c>
      <c r="L207">
        <f t="shared" si="28"/>
        <v>0.174933512359553</v>
      </c>
      <c r="M207">
        <f t="shared" si="29"/>
        <v>0.182656651934091</v>
      </c>
      <c r="N207">
        <f t="shared" si="30"/>
        <v>0.181562251148565</v>
      </c>
      <c r="O207">
        <f t="shared" si="31"/>
        <v>0.183022065907608</v>
      </c>
      <c r="P207">
        <f t="shared" si="32"/>
        <v>0.180955440260542</v>
      </c>
      <c r="Q207">
        <f t="shared" si="33"/>
        <v>0.155176164655635</v>
      </c>
      <c r="R207">
        <f t="shared" si="34"/>
        <v>0.176384347710999</v>
      </c>
      <c r="S207">
        <f t="shared" si="35"/>
        <v>0.0107981352645417</v>
      </c>
    </row>
    <row r="208" spans="3:19">
      <c r="C208">
        <v>450</v>
      </c>
      <c r="D208">
        <v>3581</v>
      </c>
      <c r="E208">
        <v>3585</v>
      </c>
      <c r="F208">
        <v>3507</v>
      </c>
      <c r="G208">
        <v>3623</v>
      </c>
      <c r="H208">
        <v>3584</v>
      </c>
      <c r="I208">
        <v>3581</v>
      </c>
      <c r="J208" s="1">
        <f t="shared" si="27"/>
        <v>3576.83333333333</v>
      </c>
      <c r="K208" s="9">
        <v>5432</v>
      </c>
      <c r="L208">
        <f t="shared" si="28"/>
        <v>0.180955440260542</v>
      </c>
      <c r="M208">
        <f t="shared" si="29"/>
        <v>0.180470601268626</v>
      </c>
      <c r="N208">
        <f t="shared" si="30"/>
        <v>0.190023995390943</v>
      </c>
      <c r="O208">
        <f t="shared" si="31"/>
        <v>0.175891427237908</v>
      </c>
      <c r="P208">
        <f t="shared" si="32"/>
        <v>0.180591760282358</v>
      </c>
      <c r="Q208">
        <f t="shared" si="33"/>
        <v>0.180955440260542</v>
      </c>
      <c r="R208">
        <f t="shared" si="34"/>
        <v>0.18148144411682</v>
      </c>
      <c r="S208">
        <f t="shared" si="35"/>
        <v>0.00461714569144657</v>
      </c>
    </row>
    <row r="209" spans="3:19">
      <c r="C209">
        <v>500</v>
      </c>
      <c r="D209">
        <v>3530</v>
      </c>
      <c r="E209">
        <v>3486</v>
      </c>
      <c r="F209">
        <v>3501</v>
      </c>
      <c r="G209">
        <v>3512</v>
      </c>
      <c r="H209">
        <v>3774</v>
      </c>
      <c r="I209">
        <v>3690</v>
      </c>
      <c r="J209" s="1">
        <f t="shared" si="27"/>
        <v>3582.16666666667</v>
      </c>
      <c r="K209" s="9">
        <v>5432</v>
      </c>
      <c r="L209">
        <f t="shared" si="28"/>
        <v>0.187185055884623</v>
      </c>
      <c r="M209">
        <f t="shared" si="29"/>
        <v>0.192632378498471</v>
      </c>
      <c r="N209">
        <f t="shared" si="30"/>
        <v>0.190767650507413</v>
      </c>
      <c r="O209">
        <f t="shared" si="31"/>
        <v>0.18940525403838</v>
      </c>
      <c r="P209">
        <f t="shared" si="32"/>
        <v>0.158157865443533</v>
      </c>
      <c r="Q209">
        <f t="shared" si="33"/>
        <v>0.167933395113385</v>
      </c>
      <c r="R209">
        <f t="shared" si="34"/>
        <v>0.181013599914301</v>
      </c>
      <c r="S209">
        <f t="shared" si="35"/>
        <v>0.0143674674339281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All channels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11_Amritha P</cp:lastModifiedBy>
  <dcterms:created xsi:type="dcterms:W3CDTF">2025-12-02T03:39:00Z</dcterms:created>
  <dcterms:modified xsi:type="dcterms:W3CDTF">2026-03-11T06:26:59Z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8125B94C28974188951135CF7D192ECD_13</vt:lpwstr>
  </property>
  <property fmtid="{D5CDD505-2E9C-101B-9397-08002B2CF9AE}" pid="3" name="KSOProductBuildVer">
    <vt:lpwstr>2057-12.2.0.23196</vt:lpwstr>
  </property>
</Properties>
</file>