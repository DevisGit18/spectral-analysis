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 activeTab="3"/>
  </bookViews>
  <sheets>
    <sheet name="30 minutes" sheetId="1" r:id="rId1"/>
    <sheet name="-30 min" sheetId="2" r:id="rId2"/>
    <sheet name="45 min" sheetId="3" r:id="rId3"/>
    <sheet name="45 minu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<sst xmlns="http://schemas.openxmlformats.org/spreadsheetml/2006/main" count="130" uniqueCount="65">
  <si>
    <t>VIOLET</t>
  </si>
  <si>
    <t>VIOLET-BLUE</t>
  </si>
  <si>
    <t>BLUE</t>
  </si>
  <si>
    <t>BLUE-CYAN</t>
  </si>
  <si>
    <t>GREEN</t>
  </si>
  <si>
    <t>YELLOW-GREEN</t>
  </si>
  <si>
    <t>GREENISH YELLOW</t>
  </si>
  <si>
    <t>ORANGE</t>
  </si>
  <si>
    <t>RED</t>
  </si>
  <si>
    <t>DEEP-RED</t>
  </si>
  <si>
    <t>NEAR-iR-RED</t>
  </si>
  <si>
    <t>0.1 g/dL</t>
  </si>
  <si>
    <t>0.5 g/dL</t>
  </si>
  <si>
    <t>1 g/dL</t>
  </si>
  <si>
    <t>1.5 g/dL</t>
  </si>
  <si>
    <t>2 g/dL</t>
  </si>
  <si>
    <t>2.5 g/dL</t>
  </si>
  <si>
    <t>3 g/dL</t>
  </si>
  <si>
    <t>3.5 g/dL</t>
  </si>
  <si>
    <t>4 g/dL</t>
  </si>
  <si>
    <t>4.5 g/dL</t>
  </si>
  <si>
    <t>5.5 g/dL</t>
  </si>
  <si>
    <t>6.5 g/dL</t>
  </si>
  <si>
    <t>C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</si>
  <si>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</si>
  <si>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</si>
  <si>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</si>
  <si>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</si>
  <si>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</si>
  <si>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</si>
  <si>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</si>
  <si>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</si>
  <si>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</si>
  <si>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</si>
  <si>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</si>
  <si>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</si>
  <si>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</si>
  <si>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</si>
  <si>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</si>
  <si>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</si>
  <si>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</si>
  <si>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</si>
  <si>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log C</t>
  </si>
  <si>
    <t>IO</t>
  </si>
  <si>
    <t>AVG</t>
  </si>
  <si>
    <t>ABS 1</t>
  </si>
  <si>
    <t>ABS 2</t>
  </si>
  <si>
    <t>ABS 3</t>
  </si>
  <si>
    <t>ABS 4</t>
  </si>
  <si>
    <t>ABS 5</t>
  </si>
  <si>
    <t>ABS 6</t>
  </si>
  <si>
    <t>ABS 7</t>
  </si>
  <si>
    <t>ABS 8</t>
  </si>
  <si>
    <t>ABS 9</t>
  </si>
  <si>
    <t>ABS 10</t>
  </si>
  <si>
    <t>ABS 11</t>
  </si>
  <si>
    <t>ABS 12</t>
  </si>
  <si>
    <t>ABS 13</t>
  </si>
  <si>
    <t>ABS 14</t>
  </si>
  <si>
    <t>ABS 15</t>
  </si>
  <si>
    <t>ABS 16</t>
  </si>
  <si>
    <t>ABS 17</t>
  </si>
  <si>
    <t>ABS 18</t>
  </si>
  <si>
    <t>AVG_ABS</t>
  </si>
  <si>
    <t>STD_DEV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</si>
</sst>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1">
    <font>
      <sz val="11"/>
      <color theme="1"/>
      <name val="Calibri"/>
      <charset val="134"/>
      <scheme val="minor"/>
    </font>
    <font>
      <sz val="11"/>
      <color rgb="FFA75EB9"/>
      <name val="Calibri"/>
      <charset val="134"/>
      <scheme val="minor"/>
    </font>
    <font>
      <sz val="11"/>
      <color rgb="FF401BC0"/>
      <name val="Calibri"/>
      <charset val="134"/>
      <scheme val="minor"/>
    </font>
    <font>
      <sz val="11"/>
      <color rgb="FF0945A5"/>
      <name val="Calibri"/>
      <charset val="134"/>
      <scheme val="minor"/>
    </font>
    <font>
      <sz val="11"/>
      <color rgb="FF0B9796"/>
      <name val="Calibri"/>
      <charset val="134"/>
      <scheme val="minor"/>
    </font>
    <font>
      <sz val="11"/>
      <color rgb="FF13742F"/>
      <name val="Calibri"/>
      <charset val="134"/>
      <scheme val="minor"/>
    </font>
    <font>
      <sz val="11"/>
      <color rgb="FFA1DC04"/>
      <name val="Calibri"/>
      <charset val="134"/>
      <scheme val="minor"/>
    </font>
    <font>
      <sz val="11"/>
      <color rgb="FFC4E759"/>
      <name val="Calibri"/>
      <charset val="134"/>
      <scheme val="minor"/>
    </font>
    <font>
      <sz val="11"/>
      <color rgb="FFFB9E13"/>
      <name val="Calibri"/>
      <charset val="134"/>
      <scheme val="minor"/>
    </font>
    <font>
      <sz val="11"/>
      <color rgb="FFEC5252"/>
      <name val="Calibri"/>
      <charset val="134"/>
      <scheme val="minor"/>
    </font>
    <font>
      <sz val="11"/>
      <color rgb="FF960E0E"/>
      <name val="Calibri"/>
      <charset val="134"/>
      <scheme val="minor"/>
    </font>
    <font>
      <sz val="11"/>
      <color rgb="FF9A28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3" borderId="4" applyNumberFormat="0" applyAlignment="0" applyProtection="0">
      <alignment vertical="center"/>
    </xf>
    <xf numFmtId="0" fontId="21" fillId="14" borderId="5" applyNumberFormat="0" applyAlignment="0" applyProtection="0">
      <alignment vertical="center"/>
    </xf>
    <xf numFmtId="0" fontId="22" fillId="14" borderId="4" applyNumberFormat="0" applyAlignment="0" applyProtection="0">
      <alignment vertical="center"/>
    </xf>
    <xf numFmtId="0" fontId="23" fillId="15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/>
    <xf numFmtId="0" fontId="0" fillId="2" borderId="0" xfId="0" applyFont="1" applyFill="1" applyAlignment="1"/>
    <xf numFmtId="0" fontId="0" fillId="3" borderId="0" xfId="0" applyFont="1" applyFill="1" applyAlignment="1"/>
    <xf numFmtId="0" fontId="0" fillId="4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ont="1" applyFill="1" applyAlignment="1"/>
    <xf numFmtId="0" fontId="0" fillId="9" borderId="0" xfId="0" applyFont="1" applyFill="1" applyAlignment="1"/>
    <xf numFmtId="0" fontId="0" fillId="10" borderId="0" xfId="0" applyFill="1"/>
    <xf numFmtId="0" fontId="8" fillId="10" borderId="0" xfId="0" applyFont="1" applyFill="1" applyAlignment="1">
      <alignment horizontal="center" vertical="center"/>
    </xf>
    <xf numFmtId="0" fontId="0" fillId="11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1"/>
  <sheetViews>
    <sheetView workbookViewId="0">
      <selection activeCell="A1" sqref="A$1:A$1048576"/>
    </sheetView>
  </sheetViews>
  <sheetFormatPr defaultColWidth="9" defaultRowHeight="14.4"/>
  <cols>
    <col min="9" max="9" width="10.5555555555556" style="22" customWidth="1"/>
    <col min="10" max="10" width="10.5555555555556" customWidth="1"/>
    <col min="11" max="11" width="10.2222222222222" customWidth="1"/>
    <col min="12" max="12" width="13.2222222222222" customWidth="1"/>
    <col min="13" max="14" width="12.8888888888889"/>
  </cols>
  <sheetData>
    <row r="1" spans="1:12">
      <c r="B1" s="6" t="s">
        <v>0</v>
      </c>
      <c r="C1" s="7" t="s">
        <v>1</v>
      </c>
      <c r="D1" s="8" t="s">
        <v>2</v>
      </c>
      <c r="E1" s="9" t="s">
        <v>3</v>
      </c>
      <c r="F1" s="10" t="s">
        <v>4</v>
      </c>
      <c r="G1" s="11" t="s">
        <v>5</v>
      </c>
      <c r="H1" s="12" t="s">
        <v>6</v>
      </c>
      <c r="I1" s="23" t="s">
        <v>7</v>
      </c>
      <c r="J1" s="14" t="s">
        <v>8</v>
      </c>
      <c r="K1" s="15" t="s">
        <v>9</v>
      </c>
      <c r="L1" s="16" t="s">
        <v>10</v>
      </c>
    </row>
    <row r="2" spans="1:12">
      <c r="A2" s="17" t="s">
        <v>11</v>
      </c>
      <c r="B2">
        <v>13649</v>
      </c>
      <c r="C2">
        <v>17253</v>
      </c>
      <c r="D2">
        <v>30275</v>
      </c>
      <c r="E2">
        <v>43852</v>
      </c>
      <c r="F2">
        <v>47088</v>
      </c>
      <c r="G2">
        <v>54496</v>
      </c>
      <c r="H2">
        <v>23415</v>
      </c>
      <c r="I2" s="22">
        <v>50540</v>
      </c>
      <c r="J2">
        <v>54244</v>
      </c>
      <c r="K2">
        <v>50720</v>
      </c>
      <c r="L2">
        <v>18920</v>
      </c>
    </row>
    <row r="3" spans="1:12">
      <c r="B3">
        <v>13907</v>
      </c>
      <c r="C3">
        <v>17500</v>
      </c>
      <c r="D3">
        <v>30658</v>
      </c>
      <c r="E3">
        <v>44413</v>
      </c>
      <c r="F3">
        <v>47694</v>
      </c>
      <c r="G3">
        <v>55119</v>
      </c>
      <c r="H3">
        <v>23797</v>
      </c>
      <c r="I3" s="22">
        <v>51109</v>
      </c>
      <c r="J3">
        <v>54912</v>
      </c>
      <c r="K3">
        <v>51444</v>
      </c>
      <c r="L3">
        <v>19276</v>
      </c>
    </row>
    <row r="4" spans="1:12">
      <c r="B4">
        <v>13679</v>
      </c>
      <c r="C4">
        <v>17114</v>
      </c>
      <c r="D4">
        <v>29505</v>
      </c>
      <c r="E4">
        <v>43023</v>
      </c>
      <c r="F4">
        <v>46700</v>
      </c>
      <c r="G4">
        <v>54191</v>
      </c>
      <c r="H4">
        <v>23464</v>
      </c>
      <c r="I4" s="22">
        <v>50472</v>
      </c>
      <c r="J4">
        <v>54492</v>
      </c>
      <c r="K4">
        <v>50937</v>
      </c>
      <c r="L4">
        <v>18995</v>
      </c>
    </row>
    <row r="5" spans="1:12">
      <c r="B5">
        <v>13056</v>
      </c>
      <c r="C5">
        <v>16531</v>
      </c>
      <c r="D5">
        <v>29201</v>
      </c>
      <c r="E5">
        <v>42551</v>
      </c>
      <c r="F5">
        <v>45515</v>
      </c>
      <c r="G5">
        <v>52729</v>
      </c>
      <c r="H5">
        <v>22486</v>
      </c>
      <c r="I5" s="22">
        <v>48933</v>
      </c>
      <c r="J5">
        <v>52538</v>
      </c>
      <c r="K5">
        <v>49185</v>
      </c>
      <c r="L5">
        <v>18183</v>
      </c>
    </row>
    <row r="6" spans="1:12">
      <c r="B6">
        <v>13756</v>
      </c>
      <c r="C6">
        <v>17320</v>
      </c>
      <c r="D6">
        <v>30074</v>
      </c>
      <c r="E6">
        <v>44078</v>
      </c>
      <c r="F6">
        <v>47263</v>
      </c>
      <c r="G6">
        <v>54149</v>
      </c>
      <c r="H6">
        <v>23530</v>
      </c>
      <c r="I6" s="22">
        <v>50203</v>
      </c>
      <c r="J6">
        <v>54422</v>
      </c>
      <c r="K6">
        <v>51055</v>
      </c>
      <c r="L6">
        <v>19090</v>
      </c>
    </row>
    <row r="7" spans="1:12">
      <c r="B7">
        <v>13710</v>
      </c>
      <c r="C7">
        <v>17225</v>
      </c>
      <c r="D7">
        <v>29858</v>
      </c>
      <c r="E7">
        <v>43353</v>
      </c>
      <c r="F7">
        <v>46933</v>
      </c>
      <c r="G7">
        <v>54673</v>
      </c>
      <c r="H7">
        <v>23498</v>
      </c>
      <c r="I7" s="22">
        <v>50921</v>
      </c>
      <c r="J7">
        <v>54715</v>
      </c>
      <c r="K7">
        <v>50898</v>
      </c>
      <c r="L7">
        <v>19030</v>
      </c>
    </row>
    <row r="8" spans="1:12">
      <c r="B8">
        <v>13624</v>
      </c>
      <c r="C8">
        <v>17001</v>
      </c>
      <c r="D8">
        <v>29114</v>
      </c>
      <c r="E8">
        <v>43306</v>
      </c>
      <c r="F8">
        <v>46545</v>
      </c>
      <c r="G8">
        <v>52781</v>
      </c>
      <c r="H8">
        <v>23311</v>
      </c>
      <c r="I8" s="22">
        <v>48972</v>
      </c>
      <c r="J8">
        <v>53704</v>
      </c>
      <c r="K8">
        <v>50797</v>
      </c>
      <c r="L8">
        <v>18936</v>
      </c>
    </row>
    <row r="9" spans="1:12">
      <c r="B9">
        <v>13236</v>
      </c>
      <c r="C9">
        <v>16683</v>
      </c>
      <c r="D9">
        <v>29179</v>
      </c>
      <c r="E9">
        <v>42511</v>
      </c>
      <c r="F9">
        <v>45749</v>
      </c>
      <c r="G9">
        <v>53135</v>
      </c>
      <c r="H9">
        <v>22703</v>
      </c>
      <c r="I9" s="22">
        <v>49421</v>
      </c>
      <c r="J9">
        <v>53135</v>
      </c>
      <c r="K9">
        <v>49673</v>
      </c>
      <c r="L9">
        <v>18426</v>
      </c>
    </row>
    <row r="10" spans="1:12">
      <c r="B10">
        <v>12920</v>
      </c>
      <c r="C10">
        <v>16367</v>
      </c>
      <c r="D10">
        <v>28855</v>
      </c>
      <c r="E10">
        <v>42124</v>
      </c>
      <c r="F10">
        <v>45001</v>
      </c>
      <c r="G10">
        <v>52249</v>
      </c>
      <c r="H10">
        <v>22221</v>
      </c>
      <c r="I10" s="22">
        <v>48592</v>
      </c>
      <c r="J10">
        <v>52272</v>
      </c>
      <c r="K10">
        <v>48831</v>
      </c>
      <c r="L10">
        <v>18012</v>
      </c>
    </row>
    <row r="11" spans="1:12">
      <c r="B11">
        <v>13209</v>
      </c>
      <c r="C11">
        <v>16653</v>
      </c>
      <c r="D11">
        <v>29000</v>
      </c>
      <c r="E11">
        <v>42484</v>
      </c>
      <c r="F11">
        <v>45742</v>
      </c>
      <c r="G11">
        <v>52908</v>
      </c>
      <c r="H11">
        <v>22685</v>
      </c>
      <c r="I11" s="22">
        <v>49194</v>
      </c>
      <c r="J11">
        <v>53109</v>
      </c>
      <c r="K11">
        <v>49733</v>
      </c>
      <c r="L11">
        <v>18412</v>
      </c>
    </row>
    <row r="12" spans="1:12">
      <c r="B12">
        <v>13804</v>
      </c>
      <c r="C12">
        <v>17475</v>
      </c>
      <c r="D12">
        <v>30888</v>
      </c>
      <c r="E12">
        <v>44861</v>
      </c>
      <c r="F12">
        <v>47447</v>
      </c>
      <c r="G12">
        <v>54581</v>
      </c>
      <c r="H12">
        <v>23542</v>
      </c>
      <c r="I12" s="22">
        <v>50543</v>
      </c>
      <c r="J12">
        <v>54408</v>
      </c>
      <c r="K12">
        <v>51046</v>
      </c>
      <c r="L12">
        <v>19102</v>
      </c>
    </row>
    <row r="13" spans="1:12">
      <c r="B13">
        <v>12217</v>
      </c>
      <c r="C13">
        <v>15502</v>
      </c>
      <c r="D13">
        <v>27361</v>
      </c>
      <c r="E13">
        <v>40243</v>
      </c>
      <c r="F13">
        <v>43228</v>
      </c>
      <c r="G13">
        <v>50437</v>
      </c>
      <c r="H13">
        <v>21189</v>
      </c>
      <c r="I13" s="22">
        <v>46999</v>
      </c>
      <c r="J13">
        <v>50490</v>
      </c>
      <c r="K13">
        <v>47107</v>
      </c>
      <c r="L13">
        <v>17156</v>
      </c>
    </row>
    <row r="14" spans="1:12">
      <c r="B14">
        <v>13729</v>
      </c>
      <c r="C14">
        <v>17325</v>
      </c>
      <c r="D14">
        <v>30215</v>
      </c>
      <c r="E14">
        <v>43878</v>
      </c>
      <c r="F14">
        <v>47171</v>
      </c>
      <c r="G14">
        <v>54658</v>
      </c>
      <c r="H14">
        <v>23496</v>
      </c>
      <c r="I14" s="22">
        <v>50760</v>
      </c>
      <c r="J14">
        <v>54545</v>
      </c>
      <c r="K14">
        <v>50710</v>
      </c>
      <c r="L14">
        <v>19005</v>
      </c>
    </row>
    <row r="15" spans="1:12">
      <c r="B15">
        <v>13259</v>
      </c>
      <c r="C15">
        <v>16726</v>
      </c>
      <c r="D15">
        <v>29382</v>
      </c>
      <c r="E15">
        <v>42829</v>
      </c>
      <c r="F15">
        <v>45915</v>
      </c>
      <c r="G15">
        <v>53086</v>
      </c>
      <c r="H15">
        <v>22737</v>
      </c>
      <c r="I15" s="22">
        <v>49244</v>
      </c>
      <c r="J15">
        <v>52973</v>
      </c>
      <c r="K15">
        <v>49838</v>
      </c>
      <c r="L15">
        <v>18463</v>
      </c>
    </row>
    <row r="16" spans="1:12">
      <c r="B16">
        <v>13047</v>
      </c>
      <c r="C16">
        <v>16464</v>
      </c>
      <c r="D16">
        <v>28812</v>
      </c>
      <c r="E16">
        <v>42085</v>
      </c>
      <c r="F16">
        <v>45353</v>
      </c>
      <c r="G16">
        <v>52619</v>
      </c>
      <c r="H16">
        <v>22441</v>
      </c>
      <c r="I16" s="22">
        <v>48901</v>
      </c>
      <c r="J16">
        <v>52599</v>
      </c>
      <c r="K16">
        <v>49246</v>
      </c>
      <c r="L16">
        <v>18188</v>
      </c>
    </row>
    <row r="17" spans="1:14">
      <c r="B17">
        <v>12696</v>
      </c>
      <c r="C17">
        <v>16051</v>
      </c>
      <c r="D17">
        <v>28248</v>
      </c>
      <c r="E17">
        <v>41364</v>
      </c>
      <c r="F17">
        <v>44331</v>
      </c>
      <c r="G17">
        <v>51592</v>
      </c>
      <c r="H17">
        <v>21896</v>
      </c>
      <c r="I17" s="22">
        <v>48039</v>
      </c>
      <c r="J17">
        <v>51615</v>
      </c>
      <c r="K17">
        <v>48202</v>
      </c>
      <c r="L17">
        <v>17735</v>
      </c>
    </row>
    <row r="18" spans="1:14">
      <c r="B18">
        <v>12330</v>
      </c>
      <c r="C18">
        <v>15608</v>
      </c>
      <c r="D18">
        <v>27636</v>
      </c>
      <c r="E18">
        <v>40513</v>
      </c>
      <c r="F18">
        <v>43347</v>
      </c>
      <c r="G18">
        <v>50523</v>
      </c>
      <c r="H18">
        <v>21299</v>
      </c>
      <c r="I18" s="22">
        <v>46999</v>
      </c>
      <c r="J18">
        <v>50406</v>
      </c>
      <c r="K18">
        <v>47210</v>
      </c>
      <c r="L18">
        <v>17250</v>
      </c>
    </row>
    <row r="19" spans="1:14">
      <c r="B19">
        <v>13517</v>
      </c>
      <c r="C19">
        <v>17029</v>
      </c>
      <c r="D19">
        <v>29811</v>
      </c>
      <c r="E19">
        <v>43360</v>
      </c>
      <c r="F19">
        <v>46549</v>
      </c>
      <c r="G19">
        <v>53994</v>
      </c>
      <c r="H19">
        <v>23162</v>
      </c>
      <c r="I19" s="22">
        <v>50164</v>
      </c>
      <c r="J19">
        <v>53830</v>
      </c>
      <c r="K19">
        <v>50190</v>
      </c>
      <c r="L19">
        <v>18746</v>
      </c>
    </row>
    <row r="20" s="18" customFormat="1" spans="1:14">
      <c r="I20" s="17"/>
      <c r="N20" s="18">
        <f>AVERAGE(I2:I7,I8:I13,I14:I19)</f>
        <v>49444.7777777778</v>
      </c>
    </row>
    <row r="22" spans="1:14">
      <c r="A22" s="17" t="s">
        <v>12</v>
      </c>
      <c r="B22">
        <v>12439</v>
      </c>
      <c r="C22">
        <v>15812</v>
      </c>
      <c r="D22">
        <v>28002</v>
      </c>
      <c r="E22">
        <v>41150</v>
      </c>
      <c r="F22">
        <v>43731</v>
      </c>
      <c r="G22">
        <v>50403</v>
      </c>
      <c r="H22">
        <v>21409</v>
      </c>
      <c r="I22" s="22">
        <v>46789</v>
      </c>
      <c r="J22">
        <v>50525</v>
      </c>
      <c r="K22">
        <v>47749</v>
      </c>
      <c r="L22">
        <v>17427</v>
      </c>
    </row>
    <row r="23" spans="1:14">
      <c r="B23">
        <v>12543</v>
      </c>
      <c r="C23">
        <v>15941</v>
      </c>
      <c r="D23">
        <v>28327</v>
      </c>
      <c r="E23">
        <v>41339</v>
      </c>
      <c r="F23">
        <v>44035</v>
      </c>
      <c r="G23">
        <v>51036</v>
      </c>
      <c r="H23">
        <v>21582</v>
      </c>
      <c r="I23" s="22">
        <v>47369</v>
      </c>
      <c r="J23">
        <v>50932</v>
      </c>
      <c r="K23">
        <v>47973</v>
      </c>
      <c r="L23">
        <v>17553</v>
      </c>
    </row>
    <row r="24" spans="1:14">
      <c r="B24">
        <v>12110</v>
      </c>
      <c r="C24">
        <v>15419</v>
      </c>
      <c r="D24">
        <v>27490</v>
      </c>
      <c r="E24">
        <v>40350</v>
      </c>
      <c r="F24">
        <v>43046</v>
      </c>
      <c r="G24">
        <v>49891</v>
      </c>
      <c r="H24">
        <v>20963</v>
      </c>
      <c r="I24" s="22">
        <v>46344</v>
      </c>
      <c r="J24">
        <v>49854</v>
      </c>
      <c r="K24">
        <v>47185</v>
      </c>
      <c r="L24">
        <v>17067</v>
      </c>
    </row>
    <row r="25" spans="1:14">
      <c r="B25">
        <v>12425</v>
      </c>
      <c r="C25">
        <v>15642</v>
      </c>
      <c r="D25">
        <v>27397</v>
      </c>
      <c r="E25">
        <v>40592</v>
      </c>
      <c r="F25">
        <v>43536</v>
      </c>
      <c r="G25">
        <v>50164</v>
      </c>
      <c r="H25">
        <v>21473</v>
      </c>
      <c r="I25" s="22">
        <v>46644</v>
      </c>
      <c r="J25">
        <v>50558</v>
      </c>
      <c r="K25">
        <v>47853</v>
      </c>
      <c r="L25">
        <v>17437</v>
      </c>
    </row>
    <row r="26" spans="1:14">
      <c r="B26">
        <v>13293</v>
      </c>
      <c r="C26">
        <v>16770</v>
      </c>
      <c r="D26">
        <v>29513</v>
      </c>
      <c r="E26">
        <v>42999</v>
      </c>
      <c r="F26">
        <v>45970</v>
      </c>
      <c r="G26">
        <v>53068</v>
      </c>
      <c r="H26">
        <v>22761</v>
      </c>
      <c r="I26" s="22">
        <v>49217</v>
      </c>
      <c r="J26">
        <v>53017</v>
      </c>
      <c r="K26">
        <v>50026</v>
      </c>
      <c r="L26">
        <v>18520</v>
      </c>
    </row>
    <row r="27" spans="1:14">
      <c r="B27">
        <v>13198</v>
      </c>
      <c r="C27">
        <v>16657</v>
      </c>
      <c r="D27">
        <v>29232</v>
      </c>
      <c r="E27">
        <v>42807</v>
      </c>
      <c r="F27">
        <v>45747</v>
      </c>
      <c r="G27">
        <v>52668</v>
      </c>
      <c r="H27">
        <v>22626</v>
      </c>
      <c r="I27" s="22">
        <v>48844</v>
      </c>
      <c r="J27">
        <v>52751</v>
      </c>
      <c r="K27">
        <v>49781</v>
      </c>
      <c r="L27">
        <v>18403</v>
      </c>
    </row>
    <row r="28" spans="1:14">
      <c r="B28">
        <v>13032</v>
      </c>
      <c r="C28">
        <v>16452</v>
      </c>
      <c r="D28">
        <v>28951</v>
      </c>
      <c r="E28">
        <v>42323</v>
      </c>
      <c r="F28">
        <v>45305</v>
      </c>
      <c r="G28">
        <v>52271</v>
      </c>
      <c r="H28">
        <v>22363</v>
      </c>
      <c r="I28" s="22">
        <v>48465</v>
      </c>
      <c r="J28">
        <v>52240</v>
      </c>
      <c r="K28">
        <v>49406</v>
      </c>
      <c r="L28">
        <v>18198</v>
      </c>
    </row>
    <row r="29" spans="1:14">
      <c r="B29">
        <v>13316</v>
      </c>
      <c r="C29">
        <v>16735</v>
      </c>
      <c r="D29">
        <v>29009</v>
      </c>
      <c r="E29">
        <v>42472</v>
      </c>
      <c r="F29">
        <v>45991</v>
      </c>
      <c r="G29">
        <v>53166</v>
      </c>
      <c r="H29">
        <v>22849</v>
      </c>
      <c r="I29" s="22">
        <v>49394</v>
      </c>
      <c r="J29">
        <v>53327</v>
      </c>
      <c r="K29">
        <v>50184</v>
      </c>
      <c r="L29">
        <v>18581</v>
      </c>
    </row>
    <row r="30" spans="1:14">
      <c r="B30">
        <v>13467</v>
      </c>
      <c r="C30">
        <v>16881</v>
      </c>
      <c r="D30">
        <v>28904</v>
      </c>
      <c r="E30">
        <v>42751</v>
      </c>
      <c r="F30">
        <v>46246</v>
      </c>
      <c r="G30">
        <v>52901</v>
      </c>
      <c r="H30">
        <v>23074</v>
      </c>
      <c r="I30" s="22">
        <v>49166</v>
      </c>
      <c r="J30">
        <v>53651</v>
      </c>
      <c r="K30">
        <v>50556</v>
      </c>
      <c r="L30">
        <v>18768</v>
      </c>
    </row>
    <row r="31" spans="1:14">
      <c r="B31">
        <v>13665</v>
      </c>
      <c r="C31">
        <v>17124</v>
      </c>
      <c r="D31">
        <v>30015</v>
      </c>
      <c r="E31">
        <v>43760</v>
      </c>
      <c r="F31">
        <v>46767</v>
      </c>
      <c r="G31">
        <v>53735</v>
      </c>
      <c r="H31">
        <v>23311</v>
      </c>
      <c r="I31" s="22">
        <v>49747</v>
      </c>
      <c r="J31">
        <v>53721</v>
      </c>
      <c r="K31">
        <v>51138</v>
      </c>
      <c r="L31">
        <v>19026</v>
      </c>
    </row>
    <row r="32" spans="1:14">
      <c r="B32">
        <v>13416</v>
      </c>
      <c r="C32">
        <v>16927</v>
      </c>
      <c r="D32">
        <v>29740</v>
      </c>
      <c r="E32">
        <v>43363</v>
      </c>
      <c r="F32">
        <v>46346</v>
      </c>
      <c r="G32">
        <v>53443</v>
      </c>
      <c r="H32">
        <v>22946</v>
      </c>
      <c r="I32" s="22">
        <v>49515</v>
      </c>
      <c r="J32">
        <v>53351</v>
      </c>
      <c r="K32">
        <v>50251</v>
      </c>
      <c r="L32">
        <v>18677</v>
      </c>
    </row>
    <row r="33" spans="1:14">
      <c r="B33">
        <v>13108</v>
      </c>
      <c r="C33">
        <v>16542</v>
      </c>
      <c r="D33">
        <v>29162</v>
      </c>
      <c r="E33">
        <v>42637</v>
      </c>
      <c r="F33">
        <v>45466</v>
      </c>
      <c r="G33">
        <v>52366</v>
      </c>
      <c r="H33">
        <v>22443</v>
      </c>
      <c r="I33" s="22">
        <v>48535</v>
      </c>
      <c r="J33">
        <v>52344</v>
      </c>
      <c r="K33">
        <v>49635</v>
      </c>
      <c r="L33">
        <v>18304</v>
      </c>
    </row>
    <row r="34" spans="1:14">
      <c r="B34">
        <v>12418</v>
      </c>
      <c r="C34">
        <v>15689</v>
      </c>
      <c r="D34">
        <v>27750</v>
      </c>
      <c r="E34">
        <v>40730</v>
      </c>
      <c r="F34">
        <v>43521</v>
      </c>
      <c r="G34">
        <v>50349</v>
      </c>
      <c r="H34">
        <v>21387</v>
      </c>
      <c r="I34" s="22">
        <v>46753</v>
      </c>
      <c r="J34">
        <v>50364</v>
      </c>
      <c r="K34">
        <v>47776</v>
      </c>
      <c r="L34">
        <v>17420</v>
      </c>
    </row>
    <row r="35" spans="1:14">
      <c r="B35">
        <v>11625</v>
      </c>
      <c r="C35">
        <v>14812</v>
      </c>
      <c r="D35">
        <v>26307</v>
      </c>
      <c r="E35">
        <v>38925</v>
      </c>
      <c r="F35">
        <v>41535</v>
      </c>
      <c r="G35">
        <v>48325</v>
      </c>
      <c r="H35">
        <v>20187</v>
      </c>
      <c r="I35" s="22">
        <v>45025</v>
      </c>
      <c r="J35">
        <v>48484</v>
      </c>
      <c r="K35">
        <v>45510</v>
      </c>
      <c r="L35">
        <v>16394</v>
      </c>
    </row>
    <row r="36" spans="1:14">
      <c r="B36">
        <v>12424</v>
      </c>
      <c r="C36">
        <v>15751</v>
      </c>
      <c r="D36">
        <v>27875</v>
      </c>
      <c r="E36">
        <v>40872</v>
      </c>
      <c r="F36">
        <v>43702</v>
      </c>
      <c r="G36">
        <v>50691</v>
      </c>
      <c r="H36">
        <v>21434</v>
      </c>
      <c r="I36" s="22">
        <v>47082</v>
      </c>
      <c r="J36">
        <v>50683</v>
      </c>
      <c r="K36">
        <v>47732</v>
      </c>
      <c r="L36">
        <v>17418</v>
      </c>
    </row>
    <row r="37" spans="1:14">
      <c r="B37">
        <v>12376</v>
      </c>
      <c r="C37">
        <v>15677</v>
      </c>
      <c r="D37">
        <v>27676</v>
      </c>
      <c r="E37">
        <v>40756</v>
      </c>
      <c r="F37">
        <v>43592</v>
      </c>
      <c r="G37">
        <v>50402</v>
      </c>
      <c r="H37">
        <v>21364</v>
      </c>
      <c r="I37" s="22">
        <v>46816</v>
      </c>
      <c r="J37">
        <v>50494</v>
      </c>
      <c r="K37">
        <v>47650</v>
      </c>
      <c r="L37">
        <v>17364</v>
      </c>
    </row>
    <row r="38" spans="1:14">
      <c r="B38">
        <v>12353</v>
      </c>
      <c r="C38">
        <v>15653</v>
      </c>
      <c r="D38">
        <v>27644</v>
      </c>
      <c r="E38">
        <v>40712</v>
      </c>
      <c r="F38">
        <v>43497</v>
      </c>
      <c r="G38">
        <v>50332</v>
      </c>
      <c r="H38">
        <v>21322</v>
      </c>
      <c r="I38" s="22">
        <v>46768</v>
      </c>
      <c r="J38">
        <v>50453</v>
      </c>
      <c r="K38">
        <v>47569</v>
      </c>
      <c r="L38">
        <v>17328</v>
      </c>
    </row>
    <row r="39" spans="1:14">
      <c r="B39">
        <v>11753</v>
      </c>
      <c r="C39">
        <v>14955</v>
      </c>
      <c r="D39">
        <v>26618</v>
      </c>
      <c r="E39">
        <v>39267</v>
      </c>
      <c r="F39">
        <v>41862</v>
      </c>
      <c r="G39">
        <v>48747</v>
      </c>
      <c r="H39">
        <v>20383</v>
      </c>
      <c r="I39" s="22">
        <v>45377</v>
      </c>
      <c r="J39">
        <v>48842</v>
      </c>
      <c r="K39">
        <v>45826</v>
      </c>
      <c r="L39">
        <v>16553</v>
      </c>
    </row>
    <row r="40" s="19" customFormat="1" spans="1:14">
      <c r="I40" s="24"/>
      <c r="N40" s="19">
        <f>AVERAGE(I22:I27,I28:I33,I34:I39)</f>
        <v>47658.3333333333</v>
      </c>
    </row>
    <row r="42" spans="1:14">
      <c r="A42" s="17" t="s">
        <v>13</v>
      </c>
      <c r="B42">
        <v>12048</v>
      </c>
      <c r="C42">
        <v>15417</v>
      </c>
      <c r="D42">
        <v>27543</v>
      </c>
      <c r="E42">
        <v>40739</v>
      </c>
      <c r="F42">
        <v>42949</v>
      </c>
      <c r="G42">
        <v>48955</v>
      </c>
      <c r="H42">
        <v>20731</v>
      </c>
      <c r="I42" s="22">
        <v>45270</v>
      </c>
      <c r="J42">
        <v>49270</v>
      </c>
      <c r="K42">
        <v>47487</v>
      </c>
      <c r="L42">
        <v>17051</v>
      </c>
    </row>
    <row r="43" spans="1:14">
      <c r="B43">
        <v>12274</v>
      </c>
      <c r="C43">
        <v>15686</v>
      </c>
      <c r="D43">
        <v>28340</v>
      </c>
      <c r="E43">
        <v>41483</v>
      </c>
      <c r="F43">
        <v>43456</v>
      </c>
      <c r="G43">
        <v>49680</v>
      </c>
      <c r="H43">
        <v>21017</v>
      </c>
      <c r="I43" s="22">
        <v>45877</v>
      </c>
      <c r="J43">
        <v>49643</v>
      </c>
      <c r="K43">
        <v>48153</v>
      </c>
      <c r="L43">
        <v>17359</v>
      </c>
    </row>
    <row r="44" spans="1:14">
      <c r="B44">
        <v>12612</v>
      </c>
      <c r="C44">
        <v>16124</v>
      </c>
      <c r="D44">
        <v>28998</v>
      </c>
      <c r="E44">
        <v>42392</v>
      </c>
      <c r="F44">
        <v>44310</v>
      </c>
      <c r="G44">
        <v>50568</v>
      </c>
      <c r="H44">
        <v>21507</v>
      </c>
      <c r="I44" s="22">
        <v>46721</v>
      </c>
      <c r="J44">
        <v>50629</v>
      </c>
      <c r="K44">
        <v>48888</v>
      </c>
      <c r="L44">
        <v>17768</v>
      </c>
    </row>
    <row r="45" spans="1:14">
      <c r="B45">
        <v>12786</v>
      </c>
      <c r="C45">
        <v>16295</v>
      </c>
      <c r="D45">
        <v>29315</v>
      </c>
      <c r="E45">
        <v>42603</v>
      </c>
      <c r="F45">
        <v>44759</v>
      </c>
      <c r="G45">
        <v>51353</v>
      </c>
      <c r="H45">
        <v>21814</v>
      </c>
      <c r="I45" s="22">
        <v>47446</v>
      </c>
      <c r="J45">
        <v>51201</v>
      </c>
      <c r="K45">
        <v>49376</v>
      </c>
      <c r="L45">
        <v>17992</v>
      </c>
    </row>
    <row r="46" spans="1:14">
      <c r="B46">
        <v>12358</v>
      </c>
      <c r="C46">
        <v>15770</v>
      </c>
      <c r="D46">
        <v>28344</v>
      </c>
      <c r="E46">
        <v>41602</v>
      </c>
      <c r="F46">
        <v>43620</v>
      </c>
      <c r="G46">
        <v>49941</v>
      </c>
      <c r="H46">
        <v>21199</v>
      </c>
      <c r="I46" s="22">
        <v>46188</v>
      </c>
      <c r="J46">
        <v>50025</v>
      </c>
      <c r="K46">
        <v>48026</v>
      </c>
      <c r="L46">
        <v>17405</v>
      </c>
    </row>
    <row r="47" spans="1:14">
      <c r="B47">
        <v>12320</v>
      </c>
      <c r="C47">
        <v>15741</v>
      </c>
      <c r="D47">
        <v>28392</v>
      </c>
      <c r="E47">
        <v>41624</v>
      </c>
      <c r="F47">
        <v>43497</v>
      </c>
      <c r="G47">
        <v>49738</v>
      </c>
      <c r="H47">
        <v>21084</v>
      </c>
      <c r="I47" s="22">
        <v>45962</v>
      </c>
      <c r="J47">
        <v>49788</v>
      </c>
      <c r="K47">
        <v>48082</v>
      </c>
      <c r="L47">
        <v>17387</v>
      </c>
    </row>
    <row r="48" spans="1:14">
      <c r="B48">
        <v>12778</v>
      </c>
      <c r="C48">
        <v>16310</v>
      </c>
      <c r="D48">
        <v>28840</v>
      </c>
      <c r="E48">
        <v>42428</v>
      </c>
      <c r="F48">
        <v>44661</v>
      </c>
      <c r="G48">
        <v>50825</v>
      </c>
      <c r="H48">
        <v>21780</v>
      </c>
      <c r="I48" s="22">
        <v>46972</v>
      </c>
      <c r="J48">
        <v>51111</v>
      </c>
      <c r="K48">
        <v>48859</v>
      </c>
      <c r="L48">
        <v>17915</v>
      </c>
    </row>
    <row r="49" spans="1:13">
      <c r="B49">
        <v>11814</v>
      </c>
      <c r="C49">
        <v>15088</v>
      </c>
      <c r="D49">
        <v>27041</v>
      </c>
      <c r="E49">
        <v>39870</v>
      </c>
      <c r="F49">
        <v>42076</v>
      </c>
      <c r="G49">
        <v>48522</v>
      </c>
      <c r="H49">
        <v>20368</v>
      </c>
      <c r="I49" s="22">
        <v>45033</v>
      </c>
      <c r="J49">
        <v>48672</v>
      </c>
      <c r="K49">
        <v>46641</v>
      </c>
      <c r="L49">
        <v>16731</v>
      </c>
    </row>
    <row r="50" spans="1:13">
      <c r="B50">
        <v>11653</v>
      </c>
      <c r="C50">
        <v>14783</v>
      </c>
      <c r="D50">
        <v>26404</v>
      </c>
      <c r="E50">
        <v>39167</v>
      </c>
      <c r="F50">
        <v>41415</v>
      </c>
      <c r="G50">
        <v>47718</v>
      </c>
      <c r="H50">
        <v>20112</v>
      </c>
      <c r="I50" s="22">
        <v>44313</v>
      </c>
      <c r="J50">
        <v>47979</v>
      </c>
      <c r="K50">
        <v>46172</v>
      </c>
      <c r="L50">
        <v>16537</v>
      </c>
    </row>
    <row r="51" spans="1:13">
      <c r="B51">
        <v>12163</v>
      </c>
      <c r="C51">
        <v>15552</v>
      </c>
      <c r="D51">
        <v>28054</v>
      </c>
      <c r="E51">
        <v>41153</v>
      </c>
      <c r="F51">
        <v>43109</v>
      </c>
      <c r="G51">
        <v>49539</v>
      </c>
      <c r="H51">
        <v>20886</v>
      </c>
      <c r="I51" s="22">
        <v>45850</v>
      </c>
      <c r="J51">
        <v>49453</v>
      </c>
      <c r="K51">
        <v>47398</v>
      </c>
      <c r="L51">
        <v>17141</v>
      </c>
    </row>
    <row r="52" spans="1:13">
      <c r="B52">
        <v>12664</v>
      </c>
      <c r="C52">
        <v>16106</v>
      </c>
      <c r="D52">
        <v>28761</v>
      </c>
      <c r="E52">
        <v>42093</v>
      </c>
      <c r="F52">
        <v>44258</v>
      </c>
      <c r="G52">
        <v>50696</v>
      </c>
      <c r="H52">
        <v>21609</v>
      </c>
      <c r="I52" s="22">
        <v>46859</v>
      </c>
      <c r="J52">
        <v>50654</v>
      </c>
      <c r="K52">
        <v>48625</v>
      </c>
      <c r="L52">
        <v>17776</v>
      </c>
    </row>
    <row r="53" spans="1:13">
      <c r="B53">
        <v>12117</v>
      </c>
      <c r="C53">
        <v>15455</v>
      </c>
      <c r="D53">
        <v>27555</v>
      </c>
      <c r="E53">
        <v>40697</v>
      </c>
      <c r="F53">
        <v>42889</v>
      </c>
      <c r="G53">
        <v>49196</v>
      </c>
      <c r="H53">
        <v>20830</v>
      </c>
      <c r="I53" s="22">
        <v>45643</v>
      </c>
      <c r="J53">
        <v>49514</v>
      </c>
      <c r="K53">
        <v>47489</v>
      </c>
      <c r="L53">
        <v>17122</v>
      </c>
    </row>
    <row r="54" spans="1:13">
      <c r="B54">
        <v>11408</v>
      </c>
      <c r="C54">
        <v>14536</v>
      </c>
      <c r="D54">
        <v>25855</v>
      </c>
      <c r="E54">
        <v>38445</v>
      </c>
      <c r="F54">
        <v>40999</v>
      </c>
      <c r="G54">
        <v>47385</v>
      </c>
      <c r="H54">
        <v>19818</v>
      </c>
      <c r="I54" s="22">
        <v>44078</v>
      </c>
      <c r="J54">
        <v>47746</v>
      </c>
      <c r="K54">
        <v>45635</v>
      </c>
      <c r="L54">
        <v>16222</v>
      </c>
    </row>
    <row r="55" spans="1:13">
      <c r="B55">
        <v>12734</v>
      </c>
      <c r="C55">
        <v>16161</v>
      </c>
      <c r="D55">
        <v>28822</v>
      </c>
      <c r="E55">
        <v>42320</v>
      </c>
      <c r="F55">
        <v>44501</v>
      </c>
      <c r="G55">
        <v>50512</v>
      </c>
      <c r="H55">
        <v>21694</v>
      </c>
      <c r="I55" s="22">
        <v>46577</v>
      </c>
      <c r="J55">
        <v>50768</v>
      </c>
      <c r="K55">
        <v>49557</v>
      </c>
      <c r="L55">
        <v>17966</v>
      </c>
    </row>
    <row r="56" spans="1:13">
      <c r="B56">
        <v>12048</v>
      </c>
      <c r="C56">
        <v>15456</v>
      </c>
      <c r="D56">
        <v>28045</v>
      </c>
      <c r="E56">
        <v>41089</v>
      </c>
      <c r="F56">
        <v>42876</v>
      </c>
      <c r="G56">
        <v>49290</v>
      </c>
      <c r="H56">
        <v>20713</v>
      </c>
      <c r="I56" s="22">
        <v>45616</v>
      </c>
      <c r="J56">
        <v>49205</v>
      </c>
      <c r="K56">
        <v>47143</v>
      </c>
      <c r="L56">
        <v>16992</v>
      </c>
    </row>
    <row r="57" spans="1:13">
      <c r="B57">
        <v>12321</v>
      </c>
      <c r="C57">
        <v>15821</v>
      </c>
      <c r="D57">
        <v>28685</v>
      </c>
      <c r="E57">
        <v>41915</v>
      </c>
      <c r="F57">
        <v>43662</v>
      </c>
      <c r="G57">
        <v>49882</v>
      </c>
      <c r="H57">
        <v>21086</v>
      </c>
      <c r="I57" s="22">
        <v>45992</v>
      </c>
      <c r="J57">
        <v>49681</v>
      </c>
      <c r="K57">
        <v>47929</v>
      </c>
      <c r="L57">
        <v>17340</v>
      </c>
    </row>
    <row r="58" spans="1:13">
      <c r="B58">
        <v>12087</v>
      </c>
      <c r="C58">
        <v>15399</v>
      </c>
      <c r="D58">
        <v>27708</v>
      </c>
      <c r="E58">
        <v>40661</v>
      </c>
      <c r="F58">
        <v>42706</v>
      </c>
      <c r="G58">
        <v>49188</v>
      </c>
      <c r="H58">
        <v>20766</v>
      </c>
      <c r="I58" s="22">
        <v>45621</v>
      </c>
      <c r="J58">
        <v>49296</v>
      </c>
      <c r="K58">
        <v>47310</v>
      </c>
      <c r="L58">
        <v>17054</v>
      </c>
    </row>
    <row r="59" spans="1:13">
      <c r="B59">
        <v>12001</v>
      </c>
      <c r="C59">
        <v>15363</v>
      </c>
      <c r="D59">
        <v>27789</v>
      </c>
      <c r="E59">
        <v>40897</v>
      </c>
      <c r="F59">
        <v>42693</v>
      </c>
      <c r="G59">
        <v>48960</v>
      </c>
      <c r="H59">
        <v>20647</v>
      </c>
      <c r="I59" s="22">
        <v>45344</v>
      </c>
      <c r="J59">
        <v>49018</v>
      </c>
      <c r="K59">
        <v>47033</v>
      </c>
      <c r="L59">
        <v>16948</v>
      </c>
    </row>
    <row r="60" s="18" customFormat="1" spans="1:13">
      <c r="I60" s="22"/>
      <c r="M60" s="18">
        <f>AVERAGE(I42:I47,I48:I53,I54:I59)</f>
        <v>45853.4444444444</v>
      </c>
    </row>
    <row r="63" spans="1:13">
      <c r="A63" s="17" t="s">
        <v>14</v>
      </c>
      <c r="B63">
        <v>12486</v>
      </c>
      <c r="C63">
        <v>16042</v>
      </c>
      <c r="D63">
        <v>29029</v>
      </c>
      <c r="E63">
        <v>42693</v>
      </c>
      <c r="F63">
        <v>44085</v>
      </c>
      <c r="G63">
        <v>49569</v>
      </c>
      <c r="H63">
        <v>21233</v>
      </c>
      <c r="I63" s="22">
        <v>45573</v>
      </c>
      <c r="J63">
        <v>49811</v>
      </c>
      <c r="K63">
        <v>49027</v>
      </c>
      <c r="L63">
        <v>17664</v>
      </c>
    </row>
    <row r="64" spans="1:13">
      <c r="B64">
        <v>12178</v>
      </c>
      <c r="C64">
        <v>15638</v>
      </c>
      <c r="D64">
        <v>28693</v>
      </c>
      <c r="E64">
        <v>42073</v>
      </c>
      <c r="F64">
        <v>43023</v>
      </c>
      <c r="G64">
        <v>48634</v>
      </c>
      <c r="H64">
        <v>20713</v>
      </c>
      <c r="I64" s="22">
        <v>44769</v>
      </c>
      <c r="J64">
        <v>48748</v>
      </c>
      <c r="K64">
        <v>48126</v>
      </c>
      <c r="L64">
        <v>17271</v>
      </c>
    </row>
    <row r="65" spans="2:12">
      <c r="B65">
        <v>12235</v>
      </c>
      <c r="C65">
        <v>15676</v>
      </c>
      <c r="D65">
        <v>28279</v>
      </c>
      <c r="E65">
        <v>41477</v>
      </c>
      <c r="F65">
        <v>43272</v>
      </c>
      <c r="G65">
        <v>49304</v>
      </c>
      <c r="H65">
        <v>20882</v>
      </c>
      <c r="I65" s="22">
        <v>45538</v>
      </c>
      <c r="J65">
        <v>49565</v>
      </c>
      <c r="K65">
        <v>48322</v>
      </c>
      <c r="L65">
        <v>17356</v>
      </c>
    </row>
    <row r="66" spans="2:12">
      <c r="B66">
        <v>12226</v>
      </c>
      <c r="C66">
        <v>15681</v>
      </c>
      <c r="D66">
        <v>28522</v>
      </c>
      <c r="E66">
        <v>41896</v>
      </c>
      <c r="F66">
        <v>43339</v>
      </c>
      <c r="G66">
        <v>48839</v>
      </c>
      <c r="H66">
        <v>20800</v>
      </c>
      <c r="I66" s="22">
        <v>44891</v>
      </c>
      <c r="J66">
        <v>49045</v>
      </c>
      <c r="K66">
        <v>48649</v>
      </c>
      <c r="L66">
        <v>17397</v>
      </c>
    </row>
    <row r="67" spans="2:12">
      <c r="B67">
        <v>12122</v>
      </c>
      <c r="C67">
        <v>15562</v>
      </c>
      <c r="D67">
        <v>28520</v>
      </c>
      <c r="E67">
        <v>41741</v>
      </c>
      <c r="F67">
        <v>43082</v>
      </c>
      <c r="G67">
        <v>48888</v>
      </c>
      <c r="H67">
        <v>20704</v>
      </c>
      <c r="I67" s="22">
        <v>44983</v>
      </c>
      <c r="J67">
        <v>48846</v>
      </c>
      <c r="K67">
        <v>47920</v>
      </c>
      <c r="L67">
        <v>17177</v>
      </c>
    </row>
    <row r="68" spans="2:12">
      <c r="B68">
        <v>12356</v>
      </c>
      <c r="C68">
        <v>15766</v>
      </c>
      <c r="D68">
        <v>28503</v>
      </c>
      <c r="E68">
        <v>41722</v>
      </c>
      <c r="F68">
        <v>43692</v>
      </c>
      <c r="G68">
        <v>49704</v>
      </c>
      <c r="H68">
        <v>21107</v>
      </c>
      <c r="I68" s="22">
        <v>45785</v>
      </c>
      <c r="J68">
        <v>49698</v>
      </c>
      <c r="K68">
        <v>48770</v>
      </c>
      <c r="L68">
        <v>17500</v>
      </c>
    </row>
    <row r="69" spans="2:12">
      <c r="B69">
        <v>12157</v>
      </c>
      <c r="C69">
        <v>15673</v>
      </c>
      <c r="D69">
        <v>28759</v>
      </c>
      <c r="E69">
        <v>41922</v>
      </c>
      <c r="F69">
        <v>43060</v>
      </c>
      <c r="G69">
        <v>49083</v>
      </c>
      <c r="H69">
        <v>20735</v>
      </c>
      <c r="I69" s="22">
        <v>45292</v>
      </c>
      <c r="J69">
        <v>49055</v>
      </c>
      <c r="K69">
        <v>47707</v>
      </c>
      <c r="L69">
        <v>17182</v>
      </c>
    </row>
    <row r="70" spans="2:12">
      <c r="B70">
        <v>12272</v>
      </c>
      <c r="C70">
        <v>15879</v>
      </c>
      <c r="D70">
        <v>29215</v>
      </c>
      <c r="E70">
        <v>42347</v>
      </c>
      <c r="F70">
        <v>43538</v>
      </c>
      <c r="G70">
        <v>49709</v>
      </c>
      <c r="H70">
        <v>20904</v>
      </c>
      <c r="I70" s="22">
        <v>45825</v>
      </c>
      <c r="J70">
        <v>49548</v>
      </c>
      <c r="K70">
        <v>48185</v>
      </c>
      <c r="L70">
        <v>17355</v>
      </c>
    </row>
    <row r="71" spans="2:12">
      <c r="B71">
        <v>12366</v>
      </c>
      <c r="C71">
        <v>15881</v>
      </c>
      <c r="D71">
        <v>28891</v>
      </c>
      <c r="E71">
        <v>42214</v>
      </c>
      <c r="F71">
        <v>43594</v>
      </c>
      <c r="G71">
        <v>49561</v>
      </c>
      <c r="H71">
        <v>21051</v>
      </c>
      <c r="I71" s="22">
        <v>45716</v>
      </c>
      <c r="J71">
        <v>49709</v>
      </c>
      <c r="K71">
        <v>48558</v>
      </c>
      <c r="L71">
        <v>17502</v>
      </c>
    </row>
    <row r="72" spans="2:12">
      <c r="B72">
        <v>12057</v>
      </c>
      <c r="C72">
        <v>15438</v>
      </c>
      <c r="D72">
        <v>27991</v>
      </c>
      <c r="E72">
        <v>41065</v>
      </c>
      <c r="F72">
        <v>42809</v>
      </c>
      <c r="G72">
        <v>48671</v>
      </c>
      <c r="H72">
        <v>20582</v>
      </c>
      <c r="I72" s="22">
        <v>44869</v>
      </c>
      <c r="J72">
        <v>48803</v>
      </c>
      <c r="K72">
        <v>48163</v>
      </c>
      <c r="L72">
        <v>17179</v>
      </c>
    </row>
    <row r="73" spans="2:12">
      <c r="B73">
        <v>11760</v>
      </c>
      <c r="C73">
        <v>15065</v>
      </c>
      <c r="D73">
        <v>27463</v>
      </c>
      <c r="E73">
        <v>40421</v>
      </c>
      <c r="F73">
        <v>41949</v>
      </c>
      <c r="G73">
        <v>47747</v>
      </c>
      <c r="H73">
        <v>20149</v>
      </c>
      <c r="I73" s="22">
        <v>44064</v>
      </c>
      <c r="J73">
        <v>47952</v>
      </c>
      <c r="K73">
        <v>47108</v>
      </c>
      <c r="L73">
        <v>16751</v>
      </c>
    </row>
    <row r="74" spans="2:12">
      <c r="B74">
        <v>11777</v>
      </c>
      <c r="C74">
        <v>15094</v>
      </c>
      <c r="D74">
        <v>27620</v>
      </c>
      <c r="E74">
        <v>40582</v>
      </c>
      <c r="F74">
        <v>41945</v>
      </c>
      <c r="G74">
        <v>47769</v>
      </c>
      <c r="H74">
        <v>20176</v>
      </c>
      <c r="I74" s="22">
        <v>44046</v>
      </c>
      <c r="J74">
        <v>47842</v>
      </c>
      <c r="K74">
        <v>46844</v>
      </c>
      <c r="L74">
        <v>16716</v>
      </c>
    </row>
    <row r="75" spans="2:12">
      <c r="B75">
        <v>11982</v>
      </c>
      <c r="C75">
        <v>15469</v>
      </c>
      <c r="D75">
        <v>28289</v>
      </c>
      <c r="E75">
        <v>41320</v>
      </c>
      <c r="F75">
        <v>42653</v>
      </c>
      <c r="G75">
        <v>48714</v>
      </c>
      <c r="H75">
        <v>20477</v>
      </c>
      <c r="I75" s="22">
        <v>44987</v>
      </c>
      <c r="J75">
        <v>48739</v>
      </c>
      <c r="K75">
        <v>47520</v>
      </c>
      <c r="L75">
        <v>17018</v>
      </c>
    </row>
    <row r="76" spans="2:12">
      <c r="B76">
        <v>11916</v>
      </c>
      <c r="C76">
        <v>15225</v>
      </c>
      <c r="D76">
        <v>27575</v>
      </c>
      <c r="E76">
        <v>40584</v>
      </c>
      <c r="F76">
        <v>42323</v>
      </c>
      <c r="G76">
        <v>48209</v>
      </c>
      <c r="H76">
        <v>20373</v>
      </c>
      <c r="I76" s="22">
        <v>44512</v>
      </c>
      <c r="J76">
        <v>48408</v>
      </c>
      <c r="K76">
        <v>47705</v>
      </c>
      <c r="L76">
        <v>16994</v>
      </c>
    </row>
    <row r="77" spans="2:12">
      <c r="B77">
        <v>11081</v>
      </c>
      <c r="C77">
        <v>14244</v>
      </c>
      <c r="D77">
        <v>25831</v>
      </c>
      <c r="E77">
        <v>38335</v>
      </c>
      <c r="F77">
        <v>40214</v>
      </c>
      <c r="G77">
        <v>46381</v>
      </c>
      <c r="H77">
        <v>19219</v>
      </c>
      <c r="I77" s="22">
        <v>43025</v>
      </c>
      <c r="J77">
        <v>46480</v>
      </c>
      <c r="K77">
        <v>44709</v>
      </c>
      <c r="L77">
        <v>15805</v>
      </c>
    </row>
    <row r="78" spans="2:12">
      <c r="B78">
        <v>11355</v>
      </c>
      <c r="C78">
        <v>14606</v>
      </c>
      <c r="D78">
        <v>26560</v>
      </c>
      <c r="E78">
        <v>39233</v>
      </c>
      <c r="F78">
        <v>40821</v>
      </c>
      <c r="G78">
        <v>47003</v>
      </c>
      <c r="H78">
        <v>19569</v>
      </c>
      <c r="I78" s="22">
        <v>43624</v>
      </c>
      <c r="J78">
        <v>47129</v>
      </c>
      <c r="K78">
        <v>45563</v>
      </c>
      <c r="L78">
        <v>16193</v>
      </c>
    </row>
    <row r="79" spans="2:12">
      <c r="B79">
        <v>11161</v>
      </c>
      <c r="C79">
        <v>14322</v>
      </c>
      <c r="D79">
        <v>25929</v>
      </c>
      <c r="E79">
        <v>38505</v>
      </c>
      <c r="F79">
        <v>40389</v>
      </c>
      <c r="G79">
        <v>46521</v>
      </c>
      <c r="H79">
        <v>19332</v>
      </c>
      <c r="I79" s="22">
        <v>43161</v>
      </c>
      <c r="J79">
        <v>46643</v>
      </c>
      <c r="K79">
        <v>44930</v>
      </c>
      <c r="L79">
        <v>15909</v>
      </c>
    </row>
    <row r="80" spans="2:12">
      <c r="B80">
        <v>12016</v>
      </c>
      <c r="C80">
        <v>15405</v>
      </c>
      <c r="D80">
        <v>27640</v>
      </c>
      <c r="E80">
        <v>40812</v>
      </c>
      <c r="F80">
        <v>42629</v>
      </c>
      <c r="G80">
        <v>48762</v>
      </c>
      <c r="H80">
        <v>20607</v>
      </c>
      <c r="I80" s="22">
        <v>45215</v>
      </c>
      <c r="J80">
        <v>49146</v>
      </c>
      <c r="K80">
        <v>47337</v>
      </c>
      <c r="L80">
        <v>17022</v>
      </c>
    </row>
    <row r="81" s="18" customFormat="1" spans="1:14">
      <c r="I81" s="22"/>
      <c r="N81" s="18">
        <f>AVERAGE(I63:I68,I69:I74,I75:I80)</f>
        <v>44770.8333333333</v>
      </c>
    </row>
    <row r="83" spans="1:14">
      <c r="A83" s="17" t="s">
        <v>15</v>
      </c>
    </row>
    <row r="84" spans="1:14">
      <c r="B84">
        <v>11636</v>
      </c>
      <c r="C84">
        <v>15010</v>
      </c>
      <c r="D84">
        <v>27416</v>
      </c>
      <c r="E84">
        <v>40424</v>
      </c>
      <c r="F84">
        <v>41784</v>
      </c>
      <c r="G84">
        <v>47404</v>
      </c>
      <c r="H84">
        <v>19929</v>
      </c>
      <c r="I84" s="22">
        <v>43721</v>
      </c>
      <c r="J84">
        <v>47582</v>
      </c>
      <c r="K84">
        <v>46917</v>
      </c>
      <c r="L84">
        <v>16615</v>
      </c>
    </row>
    <row r="85" spans="1:14">
      <c r="B85">
        <v>11903</v>
      </c>
      <c r="C85">
        <v>15270</v>
      </c>
      <c r="D85">
        <v>27807</v>
      </c>
      <c r="E85">
        <v>40830</v>
      </c>
      <c r="F85">
        <v>42361</v>
      </c>
      <c r="G85">
        <v>48052</v>
      </c>
      <c r="H85">
        <v>20294</v>
      </c>
      <c r="I85" s="22">
        <v>44300</v>
      </c>
      <c r="J85">
        <v>48237</v>
      </c>
      <c r="K85">
        <v>47968</v>
      </c>
      <c r="L85">
        <v>17030</v>
      </c>
    </row>
    <row r="86" spans="1:14">
      <c r="B86">
        <v>12022</v>
      </c>
      <c r="C86">
        <v>15430</v>
      </c>
      <c r="D86">
        <v>28149</v>
      </c>
      <c r="E86">
        <v>41263</v>
      </c>
      <c r="F86">
        <v>42690</v>
      </c>
      <c r="G86">
        <v>48612</v>
      </c>
      <c r="H86">
        <v>20528</v>
      </c>
      <c r="I86" s="22">
        <v>44868</v>
      </c>
      <c r="J86">
        <v>48723</v>
      </c>
      <c r="K86">
        <v>47865</v>
      </c>
      <c r="L86">
        <v>17110</v>
      </c>
    </row>
    <row r="87" spans="1:14">
      <c r="B87">
        <v>11546</v>
      </c>
      <c r="C87">
        <v>14879</v>
      </c>
      <c r="D87">
        <v>27289</v>
      </c>
      <c r="E87">
        <v>40203</v>
      </c>
      <c r="F87">
        <v>41524</v>
      </c>
      <c r="G87">
        <v>47192</v>
      </c>
      <c r="H87">
        <v>19796</v>
      </c>
      <c r="I87" s="22">
        <v>43516</v>
      </c>
      <c r="J87">
        <v>47315</v>
      </c>
      <c r="K87">
        <v>46646</v>
      </c>
      <c r="L87">
        <v>16498</v>
      </c>
    </row>
    <row r="88" spans="1:14">
      <c r="B88">
        <v>11697</v>
      </c>
      <c r="C88">
        <v>15026</v>
      </c>
      <c r="D88">
        <v>27330</v>
      </c>
      <c r="E88">
        <v>40328</v>
      </c>
      <c r="F88">
        <v>41826</v>
      </c>
      <c r="G88">
        <v>47480</v>
      </c>
      <c r="H88">
        <v>20023</v>
      </c>
      <c r="I88" s="22">
        <v>43813</v>
      </c>
      <c r="J88">
        <v>47774</v>
      </c>
      <c r="K88">
        <v>47217</v>
      </c>
      <c r="L88">
        <v>16737</v>
      </c>
    </row>
    <row r="89" spans="1:14">
      <c r="B89">
        <v>12099</v>
      </c>
      <c r="C89">
        <v>15542</v>
      </c>
      <c r="D89">
        <v>28268</v>
      </c>
      <c r="E89">
        <v>41515</v>
      </c>
      <c r="F89">
        <v>42767</v>
      </c>
      <c r="G89">
        <v>48396</v>
      </c>
      <c r="H89">
        <v>20562</v>
      </c>
      <c r="I89" s="22">
        <v>44613</v>
      </c>
      <c r="J89">
        <v>48704</v>
      </c>
      <c r="K89">
        <v>48235</v>
      </c>
      <c r="L89">
        <v>17231</v>
      </c>
    </row>
    <row r="90" spans="1:14">
      <c r="B90">
        <v>11714</v>
      </c>
      <c r="C90">
        <v>15021</v>
      </c>
      <c r="D90">
        <v>27414</v>
      </c>
      <c r="E90">
        <v>40371</v>
      </c>
      <c r="F90">
        <v>41789</v>
      </c>
      <c r="G90">
        <v>47678</v>
      </c>
      <c r="H90">
        <v>20075</v>
      </c>
      <c r="I90" s="22">
        <v>44054</v>
      </c>
      <c r="J90">
        <v>47886</v>
      </c>
      <c r="K90">
        <v>46883</v>
      </c>
      <c r="L90">
        <v>16679</v>
      </c>
    </row>
    <row r="91" spans="1:14">
      <c r="B91">
        <v>10901</v>
      </c>
      <c r="C91">
        <v>14107</v>
      </c>
      <c r="D91">
        <v>25730</v>
      </c>
      <c r="E91">
        <v>38407</v>
      </c>
      <c r="F91">
        <v>39786</v>
      </c>
      <c r="G91">
        <v>45467</v>
      </c>
      <c r="H91">
        <v>18857</v>
      </c>
      <c r="I91" s="22">
        <v>42136</v>
      </c>
      <c r="J91">
        <v>45750</v>
      </c>
      <c r="K91">
        <v>44526</v>
      </c>
      <c r="L91">
        <v>15616</v>
      </c>
    </row>
    <row r="92" spans="1:14">
      <c r="B92">
        <v>10564</v>
      </c>
      <c r="C92">
        <v>13854</v>
      </c>
      <c r="D92">
        <v>25216</v>
      </c>
      <c r="E92">
        <v>37845</v>
      </c>
      <c r="F92">
        <v>39193</v>
      </c>
      <c r="G92">
        <v>44603</v>
      </c>
      <c r="H92">
        <v>18310</v>
      </c>
      <c r="I92" s="22">
        <v>41289</v>
      </c>
      <c r="J92">
        <v>45036</v>
      </c>
      <c r="K92">
        <v>43756</v>
      </c>
      <c r="L92">
        <v>15214</v>
      </c>
    </row>
    <row r="93" spans="1:14">
      <c r="B93">
        <v>11170</v>
      </c>
      <c r="C93">
        <v>14433</v>
      </c>
      <c r="D93">
        <v>26607</v>
      </c>
      <c r="E93">
        <v>39190</v>
      </c>
      <c r="F93">
        <v>40471</v>
      </c>
      <c r="G93">
        <v>46381</v>
      </c>
      <c r="H93">
        <v>19248</v>
      </c>
      <c r="I93" s="22">
        <v>42897</v>
      </c>
      <c r="J93">
        <v>46379</v>
      </c>
      <c r="K93">
        <v>45313</v>
      </c>
      <c r="L93">
        <v>15973</v>
      </c>
    </row>
    <row r="94" spans="1:14">
      <c r="B94">
        <v>11152</v>
      </c>
      <c r="C94">
        <v>14404</v>
      </c>
      <c r="D94">
        <v>26333</v>
      </c>
      <c r="E94">
        <v>39003</v>
      </c>
      <c r="F94">
        <v>40464</v>
      </c>
      <c r="G94">
        <v>46253</v>
      </c>
      <c r="H94">
        <v>19225</v>
      </c>
      <c r="I94" s="22">
        <v>42786</v>
      </c>
      <c r="J94">
        <v>46396</v>
      </c>
      <c r="K94">
        <v>45381</v>
      </c>
      <c r="L94">
        <v>15969</v>
      </c>
    </row>
    <row r="95" spans="1:14">
      <c r="B95">
        <v>10964</v>
      </c>
      <c r="C95">
        <v>14139</v>
      </c>
      <c r="D95">
        <v>25819</v>
      </c>
      <c r="E95">
        <v>38355</v>
      </c>
      <c r="F95">
        <v>39821</v>
      </c>
      <c r="G95">
        <v>45602</v>
      </c>
      <c r="H95">
        <v>18915</v>
      </c>
      <c r="I95" s="22">
        <v>42246</v>
      </c>
      <c r="J95">
        <v>45776</v>
      </c>
      <c r="K95">
        <v>44810</v>
      </c>
      <c r="L95">
        <v>15726</v>
      </c>
    </row>
    <row r="96" spans="1:14">
      <c r="B96">
        <v>11825</v>
      </c>
      <c r="C96">
        <v>15229</v>
      </c>
      <c r="D96">
        <v>27948</v>
      </c>
      <c r="E96">
        <v>41031</v>
      </c>
      <c r="F96">
        <v>42244</v>
      </c>
      <c r="G96">
        <v>47711</v>
      </c>
      <c r="H96">
        <v>20166</v>
      </c>
      <c r="I96" s="22">
        <v>43864</v>
      </c>
      <c r="J96">
        <v>47819</v>
      </c>
      <c r="K96">
        <v>47580</v>
      </c>
      <c r="L96">
        <v>16888</v>
      </c>
    </row>
    <row r="97" spans="1:14">
      <c r="B97">
        <v>11713</v>
      </c>
      <c r="C97">
        <v>15045</v>
      </c>
      <c r="D97">
        <v>27446</v>
      </c>
      <c r="E97">
        <v>40359</v>
      </c>
      <c r="F97">
        <v>41836</v>
      </c>
      <c r="G97">
        <v>47403</v>
      </c>
      <c r="H97">
        <v>19992</v>
      </c>
      <c r="I97" s="22">
        <v>43661</v>
      </c>
      <c r="J97">
        <v>47598</v>
      </c>
      <c r="K97">
        <v>47420</v>
      </c>
      <c r="L97">
        <v>16784</v>
      </c>
    </row>
    <row r="98" spans="1:14">
      <c r="B98">
        <v>11208</v>
      </c>
      <c r="C98">
        <v>14453</v>
      </c>
      <c r="D98">
        <v>26435</v>
      </c>
      <c r="E98">
        <v>39129</v>
      </c>
      <c r="F98">
        <v>40503</v>
      </c>
      <c r="G98">
        <v>46381</v>
      </c>
      <c r="H98">
        <v>19308</v>
      </c>
      <c r="I98" s="22">
        <v>42953</v>
      </c>
      <c r="J98">
        <v>46539</v>
      </c>
      <c r="K98">
        <v>45357</v>
      </c>
      <c r="L98">
        <v>16025</v>
      </c>
    </row>
    <row r="99" spans="1:14">
      <c r="B99">
        <v>11669</v>
      </c>
      <c r="C99">
        <v>15019</v>
      </c>
      <c r="D99">
        <v>27485</v>
      </c>
      <c r="E99">
        <v>40428</v>
      </c>
      <c r="F99">
        <v>41707</v>
      </c>
      <c r="G99">
        <v>47603</v>
      </c>
      <c r="H99">
        <v>19986</v>
      </c>
      <c r="I99" s="22">
        <v>43979</v>
      </c>
      <c r="J99">
        <v>47698</v>
      </c>
      <c r="K99">
        <v>46694</v>
      </c>
      <c r="L99">
        <v>16616</v>
      </c>
    </row>
    <row r="100" spans="1:14">
      <c r="B100">
        <v>12082</v>
      </c>
      <c r="C100">
        <v>15545</v>
      </c>
      <c r="D100">
        <v>28430</v>
      </c>
      <c r="E100">
        <v>41619</v>
      </c>
      <c r="F100">
        <v>42875</v>
      </c>
      <c r="G100">
        <v>48670</v>
      </c>
      <c r="H100">
        <v>20582</v>
      </c>
      <c r="I100" s="22">
        <v>44855</v>
      </c>
      <c r="J100">
        <v>48752</v>
      </c>
      <c r="K100">
        <v>48022</v>
      </c>
      <c r="L100">
        <v>17184</v>
      </c>
    </row>
    <row r="101" spans="1:14">
      <c r="B101">
        <v>11365</v>
      </c>
      <c r="C101">
        <v>14643</v>
      </c>
      <c r="D101">
        <v>26774</v>
      </c>
      <c r="E101">
        <v>39747</v>
      </c>
      <c r="F101">
        <v>41005</v>
      </c>
      <c r="G101">
        <v>46389</v>
      </c>
      <c r="H101">
        <v>19512</v>
      </c>
      <c r="I101" s="22">
        <v>42759</v>
      </c>
      <c r="J101">
        <v>46700</v>
      </c>
      <c r="K101">
        <v>46131</v>
      </c>
      <c r="L101">
        <v>16280</v>
      </c>
    </row>
    <row r="102" s="18" customFormat="1" spans="1:14">
      <c r="I102" s="22"/>
      <c r="N102" s="18">
        <f>AVERAGE(I84:I89,I90:I94,I95,I96:I101)</f>
        <v>43461.6666666667</v>
      </c>
    </row>
    <row r="104" spans="1:14">
      <c r="A104" s="17" t="s">
        <v>16</v>
      </c>
    </row>
    <row r="105" spans="1:14">
      <c r="B105">
        <v>11239</v>
      </c>
      <c r="C105">
        <v>14591</v>
      </c>
      <c r="D105">
        <v>26921</v>
      </c>
      <c r="E105">
        <v>39416</v>
      </c>
      <c r="F105">
        <v>40741</v>
      </c>
      <c r="G105">
        <v>46620</v>
      </c>
      <c r="H105">
        <v>19357</v>
      </c>
      <c r="I105" s="22">
        <v>43093</v>
      </c>
      <c r="J105">
        <v>46676</v>
      </c>
      <c r="K105">
        <v>45921</v>
      </c>
      <c r="L105">
        <v>16133</v>
      </c>
    </row>
    <row r="106" spans="1:14">
      <c r="B106">
        <v>11126</v>
      </c>
      <c r="C106">
        <v>14459</v>
      </c>
      <c r="D106">
        <v>26786</v>
      </c>
      <c r="E106">
        <v>39254</v>
      </c>
      <c r="F106">
        <v>40488</v>
      </c>
      <c r="G106">
        <v>46479</v>
      </c>
      <c r="H106">
        <v>19216</v>
      </c>
      <c r="I106" s="22">
        <v>43016</v>
      </c>
      <c r="J106">
        <v>46482</v>
      </c>
      <c r="K106">
        <v>45498</v>
      </c>
      <c r="L106">
        <v>15966</v>
      </c>
    </row>
    <row r="107" spans="1:14">
      <c r="B107">
        <v>11903</v>
      </c>
      <c r="C107">
        <v>15434</v>
      </c>
      <c r="D107">
        <v>28462</v>
      </c>
      <c r="E107">
        <v>41512</v>
      </c>
      <c r="F107">
        <v>42503</v>
      </c>
      <c r="G107">
        <v>48189</v>
      </c>
      <c r="H107">
        <v>20316</v>
      </c>
      <c r="I107" s="22">
        <v>44371</v>
      </c>
      <c r="J107">
        <v>48236</v>
      </c>
      <c r="K107">
        <v>47640</v>
      </c>
      <c r="L107">
        <v>16957</v>
      </c>
    </row>
    <row r="108" spans="1:14">
      <c r="B108">
        <v>11858</v>
      </c>
      <c r="C108">
        <v>15341</v>
      </c>
      <c r="D108">
        <v>28375</v>
      </c>
      <c r="E108">
        <v>41247</v>
      </c>
      <c r="F108">
        <v>42302</v>
      </c>
      <c r="G108">
        <v>47921</v>
      </c>
      <c r="H108">
        <v>20192</v>
      </c>
      <c r="I108" s="22">
        <v>44075</v>
      </c>
      <c r="J108">
        <v>47966</v>
      </c>
      <c r="K108">
        <v>48045</v>
      </c>
      <c r="L108">
        <v>17006</v>
      </c>
    </row>
    <row r="109" spans="1:14">
      <c r="B109">
        <v>11247</v>
      </c>
      <c r="C109">
        <v>14595</v>
      </c>
      <c r="D109">
        <v>26760</v>
      </c>
      <c r="E109">
        <v>39495</v>
      </c>
      <c r="F109">
        <v>40774</v>
      </c>
      <c r="G109">
        <v>46354</v>
      </c>
      <c r="H109">
        <v>19355</v>
      </c>
      <c r="I109" s="22">
        <v>42814</v>
      </c>
      <c r="J109">
        <v>46682</v>
      </c>
      <c r="K109">
        <v>46038</v>
      </c>
      <c r="L109">
        <v>16167</v>
      </c>
    </row>
    <row r="110" spans="1:14">
      <c r="B110">
        <v>7891</v>
      </c>
      <c r="C110">
        <v>13877</v>
      </c>
      <c r="D110">
        <v>26236</v>
      </c>
      <c r="E110">
        <v>37867</v>
      </c>
      <c r="F110">
        <v>39233</v>
      </c>
      <c r="G110">
        <v>45846</v>
      </c>
      <c r="H110">
        <v>14467</v>
      </c>
      <c r="I110" s="22">
        <v>42443</v>
      </c>
      <c r="J110">
        <v>45243</v>
      </c>
      <c r="K110">
        <v>36044</v>
      </c>
      <c r="L110">
        <v>11718</v>
      </c>
    </row>
    <row r="111" spans="1:14">
      <c r="B111">
        <v>10870</v>
      </c>
      <c r="C111">
        <v>14121</v>
      </c>
      <c r="D111">
        <v>26154</v>
      </c>
      <c r="E111">
        <v>38517</v>
      </c>
      <c r="F111">
        <v>39779</v>
      </c>
      <c r="G111">
        <v>45757</v>
      </c>
      <c r="H111">
        <v>18892</v>
      </c>
      <c r="I111" s="22">
        <v>42372</v>
      </c>
      <c r="J111">
        <v>45803</v>
      </c>
      <c r="K111">
        <v>44467</v>
      </c>
      <c r="L111">
        <v>15580</v>
      </c>
    </row>
    <row r="112" spans="1:14">
      <c r="B112">
        <v>11415</v>
      </c>
      <c r="C112">
        <v>14799</v>
      </c>
      <c r="D112">
        <v>27311</v>
      </c>
      <c r="E112">
        <v>40105</v>
      </c>
      <c r="F112">
        <v>41154</v>
      </c>
      <c r="G112">
        <v>47005</v>
      </c>
      <c r="H112">
        <v>19662</v>
      </c>
      <c r="I112" s="22">
        <v>43460</v>
      </c>
      <c r="J112">
        <v>47146</v>
      </c>
      <c r="K112">
        <v>46026</v>
      </c>
      <c r="L112">
        <v>16298</v>
      </c>
    </row>
    <row r="113" spans="1:14">
      <c r="B113">
        <v>11710</v>
      </c>
      <c r="C113">
        <v>15163</v>
      </c>
      <c r="D113">
        <v>28041</v>
      </c>
      <c r="E113">
        <v>40896</v>
      </c>
      <c r="F113">
        <v>41944</v>
      </c>
      <c r="G113">
        <v>47826</v>
      </c>
      <c r="H113">
        <v>20069</v>
      </c>
      <c r="I113" s="22">
        <v>44115</v>
      </c>
      <c r="J113">
        <v>47841</v>
      </c>
      <c r="K113">
        <v>47081</v>
      </c>
      <c r="L113">
        <v>16713</v>
      </c>
    </row>
    <row r="114" spans="1:14">
      <c r="B114">
        <v>10962</v>
      </c>
      <c r="C114">
        <v>14149</v>
      </c>
      <c r="D114">
        <v>25474</v>
      </c>
      <c r="E114">
        <v>38280</v>
      </c>
      <c r="F114">
        <v>39788</v>
      </c>
      <c r="G114">
        <v>45399</v>
      </c>
      <c r="H114">
        <v>19035</v>
      </c>
      <c r="I114" s="22">
        <v>42198</v>
      </c>
      <c r="J114">
        <v>46111</v>
      </c>
      <c r="K114">
        <v>44482</v>
      </c>
      <c r="L114">
        <v>15672</v>
      </c>
    </row>
    <row r="115" spans="1:14">
      <c r="B115">
        <v>11469</v>
      </c>
      <c r="C115">
        <v>14884</v>
      </c>
      <c r="D115">
        <v>27489</v>
      </c>
      <c r="E115">
        <v>40197</v>
      </c>
      <c r="F115">
        <v>41345</v>
      </c>
      <c r="G115">
        <v>47287</v>
      </c>
      <c r="H115">
        <v>19724</v>
      </c>
      <c r="I115" s="22">
        <v>43691</v>
      </c>
      <c r="J115">
        <v>47330</v>
      </c>
      <c r="K115">
        <v>46297</v>
      </c>
      <c r="L115">
        <v>16396</v>
      </c>
    </row>
    <row r="116" spans="1:14">
      <c r="B116">
        <v>11596</v>
      </c>
      <c r="C116">
        <v>14339</v>
      </c>
      <c r="D116">
        <v>26412</v>
      </c>
      <c r="E116">
        <v>38956</v>
      </c>
      <c r="F116">
        <v>40269</v>
      </c>
      <c r="G116">
        <v>45973</v>
      </c>
      <c r="H116">
        <v>19858</v>
      </c>
      <c r="I116" s="22">
        <v>42473</v>
      </c>
      <c r="J116">
        <v>46174</v>
      </c>
      <c r="K116">
        <v>47046</v>
      </c>
      <c r="L116">
        <v>16618</v>
      </c>
    </row>
    <row r="117" spans="1:14">
      <c r="B117">
        <v>11571</v>
      </c>
      <c r="C117">
        <v>14910</v>
      </c>
      <c r="D117">
        <v>27225</v>
      </c>
      <c r="E117">
        <v>40008</v>
      </c>
      <c r="F117">
        <v>41703</v>
      </c>
      <c r="G117">
        <v>47303</v>
      </c>
      <c r="H117">
        <v>19883</v>
      </c>
      <c r="I117" s="22">
        <v>43559</v>
      </c>
      <c r="J117">
        <v>47448</v>
      </c>
      <c r="K117">
        <v>47111</v>
      </c>
      <c r="L117">
        <v>16580</v>
      </c>
    </row>
    <row r="118" spans="1:14">
      <c r="B118">
        <v>11597</v>
      </c>
      <c r="C118">
        <v>14964</v>
      </c>
      <c r="D118">
        <v>27464</v>
      </c>
      <c r="E118">
        <v>40292</v>
      </c>
      <c r="F118">
        <v>41576</v>
      </c>
      <c r="G118">
        <v>46985</v>
      </c>
      <c r="H118">
        <v>19809</v>
      </c>
      <c r="I118" s="22">
        <v>43232</v>
      </c>
      <c r="J118">
        <v>47245</v>
      </c>
      <c r="K118">
        <v>47524</v>
      </c>
      <c r="L118">
        <v>16683</v>
      </c>
    </row>
    <row r="119" spans="1:14">
      <c r="B119">
        <v>11385</v>
      </c>
      <c r="C119">
        <v>14713</v>
      </c>
      <c r="D119">
        <v>26994</v>
      </c>
      <c r="E119">
        <v>39755</v>
      </c>
      <c r="F119">
        <v>41073</v>
      </c>
      <c r="G119">
        <v>46781</v>
      </c>
      <c r="H119">
        <v>19595</v>
      </c>
      <c r="I119" s="22">
        <v>43219</v>
      </c>
      <c r="J119">
        <v>46994</v>
      </c>
      <c r="K119">
        <v>46348</v>
      </c>
      <c r="L119">
        <v>16325</v>
      </c>
    </row>
    <row r="120" spans="1:14">
      <c r="B120">
        <v>11495</v>
      </c>
      <c r="C120">
        <v>14936</v>
      </c>
      <c r="D120">
        <v>27567</v>
      </c>
      <c r="E120">
        <v>40371</v>
      </c>
      <c r="F120">
        <v>41540</v>
      </c>
      <c r="G120">
        <v>47318</v>
      </c>
      <c r="H120">
        <v>19767</v>
      </c>
      <c r="I120" s="22">
        <v>43629</v>
      </c>
      <c r="J120">
        <v>47337</v>
      </c>
      <c r="K120">
        <v>46443</v>
      </c>
      <c r="L120">
        <v>16424</v>
      </c>
    </row>
    <row r="121" spans="1:14">
      <c r="B121">
        <v>11416</v>
      </c>
      <c r="C121">
        <v>14654</v>
      </c>
      <c r="D121">
        <v>26779</v>
      </c>
      <c r="E121">
        <v>39534</v>
      </c>
      <c r="F121">
        <v>41005</v>
      </c>
      <c r="G121">
        <v>46683</v>
      </c>
      <c r="H121">
        <v>19661</v>
      </c>
      <c r="I121" s="22">
        <v>43135</v>
      </c>
      <c r="J121">
        <v>46955</v>
      </c>
      <c r="K121">
        <v>46422</v>
      </c>
      <c r="L121">
        <v>16359</v>
      </c>
    </row>
    <row r="122" spans="1:14">
      <c r="B122">
        <v>11672</v>
      </c>
      <c r="C122">
        <v>15064</v>
      </c>
      <c r="D122">
        <v>27621</v>
      </c>
      <c r="E122">
        <v>40522</v>
      </c>
      <c r="F122">
        <v>41815</v>
      </c>
      <c r="G122">
        <v>47335</v>
      </c>
      <c r="H122">
        <v>19946</v>
      </c>
      <c r="I122" s="22">
        <v>43621</v>
      </c>
      <c r="J122">
        <v>47569</v>
      </c>
      <c r="K122">
        <v>47585</v>
      </c>
      <c r="L122">
        <v>16755</v>
      </c>
    </row>
    <row r="123" s="18" customFormat="1" spans="1:14">
      <c r="I123" s="22"/>
      <c r="N123" s="18">
        <f>AVERAGE(I105:I110,I111:I116,I117:I122)</f>
        <v>43250.8888888889</v>
      </c>
    </row>
    <row r="125" spans="1:14">
      <c r="A125" s="17" t="s">
        <v>17</v>
      </c>
    </row>
    <row r="127" spans="1:14">
      <c r="B127">
        <v>11300</v>
      </c>
      <c r="C127">
        <v>14736</v>
      </c>
      <c r="D127">
        <v>27518</v>
      </c>
      <c r="E127">
        <v>40204</v>
      </c>
      <c r="F127">
        <v>40990</v>
      </c>
      <c r="G127">
        <v>46608</v>
      </c>
      <c r="H127">
        <v>19418</v>
      </c>
      <c r="I127" s="22">
        <v>42903</v>
      </c>
      <c r="J127">
        <v>46504</v>
      </c>
      <c r="K127">
        <v>45947</v>
      </c>
      <c r="L127">
        <v>16180</v>
      </c>
    </row>
    <row r="128" spans="1:14">
      <c r="B128">
        <v>11184</v>
      </c>
      <c r="C128">
        <v>14489</v>
      </c>
      <c r="D128">
        <v>26720</v>
      </c>
      <c r="E128">
        <v>39311</v>
      </c>
      <c r="F128">
        <v>40597</v>
      </c>
      <c r="G128">
        <v>46345</v>
      </c>
      <c r="H128">
        <v>19288</v>
      </c>
      <c r="I128" s="22">
        <v>42812</v>
      </c>
      <c r="J128">
        <v>46454</v>
      </c>
      <c r="K128">
        <v>45759</v>
      </c>
      <c r="L128">
        <v>16059</v>
      </c>
    </row>
    <row r="129" spans="2:12">
      <c r="B129">
        <v>10802</v>
      </c>
      <c r="C129">
        <v>14029</v>
      </c>
      <c r="D129">
        <v>25789</v>
      </c>
      <c r="E129">
        <v>38247</v>
      </c>
      <c r="F129">
        <v>39553</v>
      </c>
      <c r="G129">
        <v>45490</v>
      </c>
      <c r="H129">
        <v>18788</v>
      </c>
      <c r="I129" s="22">
        <v>42215</v>
      </c>
      <c r="J129">
        <v>45669</v>
      </c>
      <c r="K129">
        <v>44090</v>
      </c>
      <c r="L129">
        <v>15469</v>
      </c>
    </row>
    <row r="130" spans="2:12">
      <c r="B130">
        <v>11265</v>
      </c>
      <c r="C130">
        <v>14576</v>
      </c>
      <c r="D130">
        <v>27010</v>
      </c>
      <c r="E130">
        <v>39708</v>
      </c>
      <c r="F130">
        <v>40676</v>
      </c>
      <c r="G130">
        <v>46430</v>
      </c>
      <c r="H130">
        <v>19409</v>
      </c>
      <c r="I130" s="22">
        <v>42878</v>
      </c>
      <c r="J130">
        <v>46455</v>
      </c>
      <c r="K130">
        <v>45602</v>
      </c>
      <c r="L130">
        <v>16100</v>
      </c>
    </row>
    <row r="131" spans="2:12">
      <c r="B131">
        <v>11621</v>
      </c>
      <c r="C131">
        <v>14921</v>
      </c>
      <c r="D131">
        <v>27171</v>
      </c>
      <c r="E131">
        <v>40715</v>
      </c>
      <c r="F131">
        <v>41378</v>
      </c>
      <c r="G131">
        <v>46101</v>
      </c>
      <c r="H131">
        <v>19858</v>
      </c>
      <c r="I131" s="22">
        <v>42438</v>
      </c>
      <c r="J131">
        <v>46783</v>
      </c>
      <c r="K131">
        <v>46997</v>
      </c>
      <c r="L131">
        <v>16612</v>
      </c>
    </row>
    <row r="132" spans="2:12">
      <c r="B132">
        <v>11460</v>
      </c>
      <c r="C132">
        <v>14869</v>
      </c>
      <c r="D132">
        <v>27328</v>
      </c>
      <c r="E132">
        <v>40572</v>
      </c>
      <c r="F132">
        <v>41266</v>
      </c>
      <c r="G132">
        <v>46042</v>
      </c>
      <c r="H132">
        <v>19557</v>
      </c>
      <c r="I132" s="22">
        <v>42265</v>
      </c>
      <c r="J132">
        <v>46514</v>
      </c>
      <c r="K132">
        <v>47105</v>
      </c>
      <c r="L132">
        <v>16506</v>
      </c>
    </row>
    <row r="133" spans="2:12">
      <c r="B133">
        <v>10886</v>
      </c>
      <c r="C133">
        <v>14077</v>
      </c>
      <c r="D133">
        <v>25731</v>
      </c>
      <c r="E133">
        <v>38186</v>
      </c>
      <c r="F133">
        <v>39604</v>
      </c>
      <c r="G133">
        <v>45347</v>
      </c>
      <c r="H133">
        <v>18832</v>
      </c>
      <c r="I133" s="22">
        <v>42036</v>
      </c>
      <c r="J133">
        <v>45589</v>
      </c>
      <c r="K133">
        <v>44754</v>
      </c>
      <c r="L133">
        <v>15658</v>
      </c>
    </row>
    <row r="134" spans="2:12">
      <c r="B134">
        <v>10872</v>
      </c>
      <c r="C134">
        <v>14015</v>
      </c>
      <c r="D134">
        <v>25628</v>
      </c>
      <c r="E134">
        <v>37917</v>
      </c>
      <c r="F134">
        <v>39478</v>
      </c>
      <c r="G134">
        <v>45413</v>
      </c>
      <c r="H134">
        <v>18813</v>
      </c>
      <c r="I134" s="22">
        <v>42133</v>
      </c>
      <c r="J134">
        <v>45550</v>
      </c>
      <c r="K134">
        <v>44718</v>
      </c>
      <c r="L134">
        <v>15637</v>
      </c>
    </row>
    <row r="135" spans="2:12">
      <c r="B135">
        <v>11143</v>
      </c>
      <c r="C135">
        <v>14436</v>
      </c>
      <c r="D135">
        <v>26609</v>
      </c>
      <c r="E135">
        <v>39116</v>
      </c>
      <c r="F135">
        <v>40367</v>
      </c>
      <c r="G135">
        <v>46130</v>
      </c>
      <c r="H135">
        <v>19152</v>
      </c>
      <c r="I135" s="22">
        <v>42639</v>
      </c>
      <c r="J135">
        <v>46146</v>
      </c>
      <c r="K135">
        <v>45807</v>
      </c>
      <c r="L135">
        <v>16050</v>
      </c>
    </row>
    <row r="136" spans="2:12">
      <c r="B136">
        <v>11217</v>
      </c>
      <c r="C136">
        <v>14575</v>
      </c>
      <c r="D136">
        <v>27438</v>
      </c>
      <c r="E136">
        <v>39432</v>
      </c>
      <c r="F136">
        <v>40608</v>
      </c>
      <c r="G136">
        <v>46994</v>
      </c>
      <c r="H136">
        <v>19264</v>
      </c>
      <c r="I136" s="22">
        <v>43365</v>
      </c>
      <c r="J136">
        <v>46365</v>
      </c>
      <c r="K136">
        <v>45756</v>
      </c>
      <c r="L136">
        <v>16095</v>
      </c>
    </row>
    <row r="137" spans="2:12">
      <c r="B137">
        <v>10732</v>
      </c>
      <c r="C137">
        <v>13856</v>
      </c>
      <c r="D137">
        <v>25675</v>
      </c>
      <c r="E137">
        <v>37927</v>
      </c>
      <c r="F137">
        <v>39215</v>
      </c>
      <c r="G137">
        <v>45142</v>
      </c>
      <c r="H137">
        <v>18641</v>
      </c>
      <c r="I137" s="22">
        <v>41808</v>
      </c>
      <c r="J137">
        <v>45123</v>
      </c>
      <c r="K137">
        <v>44113</v>
      </c>
      <c r="L137">
        <v>15407</v>
      </c>
    </row>
    <row r="138" spans="2:12">
      <c r="B138">
        <v>10657</v>
      </c>
      <c r="C138">
        <v>13783</v>
      </c>
      <c r="D138">
        <v>25318</v>
      </c>
      <c r="E138">
        <v>37637</v>
      </c>
      <c r="F138">
        <v>38971</v>
      </c>
      <c r="G138">
        <v>44599</v>
      </c>
      <c r="H138">
        <v>18456</v>
      </c>
      <c r="I138" s="22">
        <v>41270</v>
      </c>
      <c r="J138">
        <v>44797</v>
      </c>
      <c r="K138">
        <v>44122</v>
      </c>
      <c r="L138">
        <v>15354</v>
      </c>
    </row>
    <row r="139" spans="2:12">
      <c r="B139">
        <v>11624</v>
      </c>
      <c r="C139">
        <v>15023</v>
      </c>
      <c r="D139">
        <v>26607</v>
      </c>
      <c r="E139">
        <v>40475</v>
      </c>
      <c r="F139">
        <v>41678</v>
      </c>
      <c r="G139">
        <v>46347</v>
      </c>
      <c r="H139">
        <v>19948</v>
      </c>
      <c r="I139" s="22">
        <v>42869</v>
      </c>
      <c r="J139">
        <v>47621</v>
      </c>
      <c r="K139">
        <v>46881</v>
      </c>
      <c r="L139">
        <v>16616</v>
      </c>
    </row>
    <row r="140" spans="2:12">
      <c r="B140">
        <v>10834</v>
      </c>
      <c r="C140">
        <v>13907</v>
      </c>
      <c r="D140">
        <v>26039</v>
      </c>
      <c r="E140">
        <v>37856</v>
      </c>
      <c r="F140">
        <v>39338</v>
      </c>
      <c r="G140">
        <v>45995</v>
      </c>
      <c r="H140">
        <v>18851</v>
      </c>
      <c r="I140" s="22">
        <v>42705</v>
      </c>
      <c r="J140">
        <v>45598</v>
      </c>
      <c r="K140">
        <v>44304</v>
      </c>
      <c r="L140">
        <v>15524</v>
      </c>
    </row>
    <row r="141" spans="2:12">
      <c r="B141">
        <v>10103</v>
      </c>
      <c r="C141">
        <v>13182</v>
      </c>
      <c r="D141">
        <v>24678</v>
      </c>
      <c r="E141">
        <v>36260</v>
      </c>
      <c r="F141">
        <v>37853</v>
      </c>
      <c r="G141">
        <v>44287</v>
      </c>
      <c r="H141">
        <v>17771</v>
      </c>
      <c r="I141" s="22">
        <v>41154</v>
      </c>
      <c r="J141">
        <v>44043</v>
      </c>
      <c r="K141">
        <v>42155</v>
      </c>
      <c r="L141">
        <v>14558</v>
      </c>
    </row>
    <row r="142" spans="2:12">
      <c r="B142">
        <v>11197</v>
      </c>
      <c r="C142">
        <v>14502</v>
      </c>
      <c r="D142">
        <v>26321</v>
      </c>
      <c r="E142">
        <v>39384</v>
      </c>
      <c r="F142">
        <v>40612</v>
      </c>
      <c r="G142">
        <v>45923</v>
      </c>
      <c r="H142">
        <v>19308</v>
      </c>
      <c r="I142" s="22">
        <v>42490</v>
      </c>
      <c r="J142">
        <v>46527</v>
      </c>
      <c r="K142">
        <v>45737</v>
      </c>
      <c r="L142">
        <v>16060</v>
      </c>
    </row>
    <row r="143" spans="2:12">
      <c r="B143">
        <v>11039</v>
      </c>
      <c r="C143">
        <v>14335</v>
      </c>
      <c r="D143">
        <v>27145</v>
      </c>
      <c r="E143">
        <v>39094</v>
      </c>
      <c r="F143">
        <v>40202</v>
      </c>
      <c r="G143">
        <v>46554</v>
      </c>
      <c r="H143">
        <v>19062</v>
      </c>
      <c r="I143" s="22">
        <v>42943</v>
      </c>
      <c r="J143">
        <v>46014</v>
      </c>
      <c r="K143">
        <v>45210</v>
      </c>
      <c r="L143">
        <v>15848</v>
      </c>
    </row>
    <row r="144" spans="2:12">
      <c r="B144">
        <v>11272</v>
      </c>
      <c r="C144">
        <v>14435</v>
      </c>
      <c r="D144">
        <v>26178</v>
      </c>
      <c r="E144">
        <v>39216</v>
      </c>
      <c r="F144">
        <v>40487</v>
      </c>
      <c r="G144">
        <v>45798</v>
      </c>
      <c r="H144">
        <v>19439</v>
      </c>
      <c r="I144" s="22">
        <v>42382</v>
      </c>
      <c r="J144">
        <v>46454</v>
      </c>
      <c r="K144">
        <v>45912</v>
      </c>
      <c r="L144">
        <v>16152</v>
      </c>
    </row>
    <row r="145" s="18" customFormat="1" spans="1:14">
      <c r="I145" s="22"/>
      <c r="N145" s="18">
        <f>AVERAGE(I127:I132,I133:I138,I139:I144)</f>
        <v>42405.8333333333</v>
      </c>
    </row>
    <row r="147" spans="1:14">
      <c r="A147" s="17" t="s">
        <v>18</v>
      </c>
    </row>
    <row r="148" spans="1:14">
      <c r="B148">
        <v>11214</v>
      </c>
      <c r="C148">
        <v>14505</v>
      </c>
      <c r="D148">
        <v>26532</v>
      </c>
      <c r="E148">
        <v>39286</v>
      </c>
      <c r="F148">
        <v>40687</v>
      </c>
      <c r="G148">
        <v>45994</v>
      </c>
      <c r="H148">
        <v>19266</v>
      </c>
      <c r="I148" s="22">
        <v>42397</v>
      </c>
      <c r="J148">
        <v>46315</v>
      </c>
      <c r="K148">
        <v>46537</v>
      </c>
      <c r="L148">
        <v>16192</v>
      </c>
    </row>
    <row r="149" spans="1:14">
      <c r="B149">
        <v>11603</v>
      </c>
      <c r="C149">
        <v>14971</v>
      </c>
      <c r="D149">
        <v>27552</v>
      </c>
      <c r="E149">
        <v>40487</v>
      </c>
      <c r="F149">
        <v>41528</v>
      </c>
      <c r="G149">
        <v>46647</v>
      </c>
      <c r="H149">
        <v>19736</v>
      </c>
      <c r="I149" s="22">
        <v>42854</v>
      </c>
      <c r="J149">
        <v>46909</v>
      </c>
      <c r="K149">
        <v>47943</v>
      </c>
      <c r="L149">
        <v>16761</v>
      </c>
    </row>
    <row r="150" spans="1:14">
      <c r="B150">
        <v>10684</v>
      </c>
      <c r="C150">
        <v>13953</v>
      </c>
      <c r="D150">
        <v>25915</v>
      </c>
      <c r="E150">
        <v>38125</v>
      </c>
      <c r="F150">
        <v>39455</v>
      </c>
      <c r="G150">
        <v>45222</v>
      </c>
      <c r="H150">
        <v>18539</v>
      </c>
      <c r="I150" s="22">
        <v>41779</v>
      </c>
      <c r="J150">
        <v>45293</v>
      </c>
      <c r="K150">
        <v>44501</v>
      </c>
      <c r="L150">
        <v>15434</v>
      </c>
    </row>
    <row r="151" spans="1:14">
      <c r="B151">
        <v>9963</v>
      </c>
      <c r="C151">
        <v>13227</v>
      </c>
      <c r="D151">
        <v>24734</v>
      </c>
      <c r="E151">
        <v>36657</v>
      </c>
      <c r="F151">
        <v>37929</v>
      </c>
      <c r="G151">
        <v>43590</v>
      </c>
      <c r="H151">
        <v>17442</v>
      </c>
      <c r="I151" s="22">
        <v>40307</v>
      </c>
      <c r="J151">
        <v>43562</v>
      </c>
      <c r="K151">
        <v>42542</v>
      </c>
      <c r="L151">
        <v>14505</v>
      </c>
    </row>
    <row r="152" spans="1:14">
      <c r="B152">
        <v>11069</v>
      </c>
      <c r="C152">
        <v>14666</v>
      </c>
      <c r="D152">
        <v>26565</v>
      </c>
      <c r="E152">
        <v>39987</v>
      </c>
      <c r="F152">
        <v>40874</v>
      </c>
      <c r="G152">
        <v>45496</v>
      </c>
      <c r="H152">
        <v>19013</v>
      </c>
      <c r="I152" s="22">
        <v>41888</v>
      </c>
      <c r="J152">
        <v>46269</v>
      </c>
      <c r="K152">
        <v>46036</v>
      </c>
      <c r="L152">
        <v>16018</v>
      </c>
    </row>
    <row r="153" spans="1:14">
      <c r="B153">
        <v>10619</v>
      </c>
      <c r="C153">
        <v>13832</v>
      </c>
      <c r="D153">
        <v>24609</v>
      </c>
      <c r="E153">
        <v>37812</v>
      </c>
      <c r="F153">
        <v>39242</v>
      </c>
      <c r="G153">
        <v>43841</v>
      </c>
      <c r="H153">
        <v>18412</v>
      </c>
      <c r="I153" s="22">
        <v>40588</v>
      </c>
      <c r="J153">
        <v>45054</v>
      </c>
      <c r="K153">
        <v>44544</v>
      </c>
      <c r="L153">
        <v>15382</v>
      </c>
    </row>
    <row r="154" spans="1:14">
      <c r="B154">
        <v>11204</v>
      </c>
      <c r="C154">
        <v>14480</v>
      </c>
      <c r="D154">
        <v>26284</v>
      </c>
      <c r="E154">
        <v>39181</v>
      </c>
      <c r="F154">
        <v>40460</v>
      </c>
      <c r="G154">
        <v>45868</v>
      </c>
      <c r="H154">
        <v>19303</v>
      </c>
      <c r="I154" s="22">
        <v>42450</v>
      </c>
      <c r="J154">
        <v>46392</v>
      </c>
      <c r="K154">
        <v>45615</v>
      </c>
      <c r="L154">
        <v>16058</v>
      </c>
    </row>
    <row r="155" spans="1:14">
      <c r="B155">
        <v>10814</v>
      </c>
      <c r="C155">
        <v>14047</v>
      </c>
      <c r="D155">
        <v>25881</v>
      </c>
      <c r="E155">
        <v>38218</v>
      </c>
      <c r="F155">
        <v>39568</v>
      </c>
      <c r="G155">
        <v>45395</v>
      </c>
      <c r="H155">
        <v>18737</v>
      </c>
      <c r="I155" s="22">
        <v>42026</v>
      </c>
      <c r="J155">
        <v>45526</v>
      </c>
      <c r="K155">
        <v>44461</v>
      </c>
      <c r="L155">
        <v>15544</v>
      </c>
    </row>
    <row r="156" spans="1:14">
      <c r="B156">
        <v>10369</v>
      </c>
      <c r="C156">
        <v>13489</v>
      </c>
      <c r="D156">
        <v>25006</v>
      </c>
      <c r="E156">
        <v>36850</v>
      </c>
      <c r="F156">
        <v>38396</v>
      </c>
      <c r="G156">
        <v>44623</v>
      </c>
      <c r="H156">
        <v>18116</v>
      </c>
      <c r="I156" s="22">
        <v>41450</v>
      </c>
      <c r="J156">
        <v>44543</v>
      </c>
      <c r="K156">
        <v>43017</v>
      </c>
      <c r="L156">
        <v>14935</v>
      </c>
    </row>
    <row r="157" spans="1:14">
      <c r="B157">
        <v>9844</v>
      </c>
      <c r="C157">
        <v>12796</v>
      </c>
      <c r="D157">
        <v>23665</v>
      </c>
      <c r="E157">
        <v>35424</v>
      </c>
      <c r="F157">
        <v>37010</v>
      </c>
      <c r="G157">
        <v>42875</v>
      </c>
      <c r="H157">
        <v>17329</v>
      </c>
      <c r="I157" s="22">
        <v>39848</v>
      </c>
      <c r="J157">
        <v>43008</v>
      </c>
      <c r="K157">
        <v>41660</v>
      </c>
      <c r="L157">
        <v>14268</v>
      </c>
    </row>
    <row r="158" spans="1:14">
      <c r="B158">
        <v>10308</v>
      </c>
      <c r="C158">
        <v>13331</v>
      </c>
      <c r="D158">
        <v>24423</v>
      </c>
      <c r="E158">
        <v>36524</v>
      </c>
      <c r="F158">
        <v>38165</v>
      </c>
      <c r="G158">
        <v>44048</v>
      </c>
      <c r="H158">
        <v>18040</v>
      </c>
      <c r="I158" s="22">
        <v>40937</v>
      </c>
      <c r="J158">
        <v>44301</v>
      </c>
      <c r="K158">
        <v>42961</v>
      </c>
      <c r="L158">
        <v>14872</v>
      </c>
    </row>
    <row r="159" spans="1:14">
      <c r="B159">
        <v>10808</v>
      </c>
      <c r="C159">
        <v>14063</v>
      </c>
      <c r="D159">
        <v>26124</v>
      </c>
      <c r="E159">
        <v>38472</v>
      </c>
      <c r="F159">
        <v>39619</v>
      </c>
      <c r="G159">
        <v>45349</v>
      </c>
      <c r="H159">
        <v>18703</v>
      </c>
      <c r="I159" s="22">
        <v>41897</v>
      </c>
      <c r="J159">
        <v>45357</v>
      </c>
      <c r="K159">
        <v>44672</v>
      </c>
      <c r="L159">
        <v>15575</v>
      </c>
    </row>
    <row r="160" spans="1:14">
      <c r="B160">
        <v>11104</v>
      </c>
      <c r="C160">
        <v>14383</v>
      </c>
      <c r="D160">
        <v>26552</v>
      </c>
      <c r="E160">
        <v>39105</v>
      </c>
      <c r="F160">
        <v>40390</v>
      </c>
      <c r="G160">
        <v>46051</v>
      </c>
      <c r="H160">
        <v>19141</v>
      </c>
      <c r="I160" s="22">
        <v>42496</v>
      </c>
      <c r="J160">
        <v>46113</v>
      </c>
      <c r="K160">
        <v>45781</v>
      </c>
      <c r="L160">
        <v>15998</v>
      </c>
    </row>
    <row r="161" spans="1:14">
      <c r="B161">
        <v>10816</v>
      </c>
      <c r="C161">
        <v>14019</v>
      </c>
      <c r="D161">
        <v>25594</v>
      </c>
      <c r="E161">
        <v>38343</v>
      </c>
      <c r="F161">
        <v>39614</v>
      </c>
      <c r="G161">
        <v>44819</v>
      </c>
      <c r="H161">
        <v>18695</v>
      </c>
      <c r="I161" s="22">
        <v>41411</v>
      </c>
      <c r="J161">
        <v>45277</v>
      </c>
      <c r="K161">
        <v>45032</v>
      </c>
      <c r="L161">
        <v>15643</v>
      </c>
    </row>
    <row r="162" spans="1:14">
      <c r="B162">
        <v>11505</v>
      </c>
      <c r="C162">
        <v>14884</v>
      </c>
      <c r="D162">
        <v>27441</v>
      </c>
      <c r="E162">
        <v>40387</v>
      </c>
      <c r="F162">
        <v>41367</v>
      </c>
      <c r="G162">
        <v>46568</v>
      </c>
      <c r="H162">
        <v>19631</v>
      </c>
      <c r="I162" s="22">
        <v>42797</v>
      </c>
      <c r="J162">
        <v>46737</v>
      </c>
      <c r="K162">
        <v>47287</v>
      </c>
      <c r="L162">
        <v>16587</v>
      </c>
    </row>
    <row r="163" spans="1:14">
      <c r="B163">
        <v>11254</v>
      </c>
      <c r="C163">
        <v>14508</v>
      </c>
      <c r="D163">
        <v>26671</v>
      </c>
      <c r="E163">
        <v>39468</v>
      </c>
      <c r="F163">
        <v>40622</v>
      </c>
      <c r="G163">
        <v>45993</v>
      </c>
      <c r="H163">
        <v>19303</v>
      </c>
      <c r="I163" s="22">
        <v>42396</v>
      </c>
      <c r="J163">
        <v>46203</v>
      </c>
      <c r="K163">
        <v>46475</v>
      </c>
      <c r="L163">
        <v>16235</v>
      </c>
    </row>
    <row r="164" spans="1:14">
      <c r="B164">
        <v>10903</v>
      </c>
      <c r="C164">
        <v>14181</v>
      </c>
      <c r="D164">
        <v>26139</v>
      </c>
      <c r="E164">
        <v>38818</v>
      </c>
      <c r="F164">
        <v>39931</v>
      </c>
      <c r="G164">
        <v>45278</v>
      </c>
      <c r="H164">
        <v>18819</v>
      </c>
      <c r="I164" s="22">
        <v>41768</v>
      </c>
      <c r="J164">
        <v>45536</v>
      </c>
      <c r="K164">
        <v>45198</v>
      </c>
      <c r="L164">
        <v>15737</v>
      </c>
    </row>
    <row r="165" spans="1:14">
      <c r="B165">
        <v>10876</v>
      </c>
      <c r="C165">
        <v>13815</v>
      </c>
      <c r="D165">
        <v>25745</v>
      </c>
      <c r="E165">
        <v>37852</v>
      </c>
      <c r="F165">
        <v>39182</v>
      </c>
      <c r="G165">
        <v>45085</v>
      </c>
      <c r="H165">
        <v>18787</v>
      </c>
      <c r="I165" s="22">
        <v>41657</v>
      </c>
      <c r="J165">
        <v>44899</v>
      </c>
      <c r="K165">
        <v>45198</v>
      </c>
      <c r="L165">
        <v>15717</v>
      </c>
    </row>
    <row r="166" s="18" customFormat="1" spans="1:14">
      <c r="I166" s="22"/>
      <c r="N166" s="18">
        <f>AVERAGE(I148:I153,I154:I159,I160:I165)</f>
        <v>41719.2222222222</v>
      </c>
    </row>
    <row r="168" spans="1:14">
      <c r="A168" s="17" t="s">
        <v>19</v>
      </c>
    </row>
    <row r="169" spans="1:14">
      <c r="B169">
        <v>11839</v>
      </c>
      <c r="C169">
        <v>15258</v>
      </c>
      <c r="D169">
        <v>27966</v>
      </c>
      <c r="E169">
        <v>41079</v>
      </c>
      <c r="F169">
        <v>42123</v>
      </c>
      <c r="G169">
        <v>47452</v>
      </c>
      <c r="H169">
        <v>20142</v>
      </c>
      <c r="I169" s="22">
        <v>43661</v>
      </c>
      <c r="J169">
        <v>47672</v>
      </c>
      <c r="K169">
        <v>48158</v>
      </c>
      <c r="L169">
        <v>17000</v>
      </c>
    </row>
    <row r="170" spans="1:14">
      <c r="B170">
        <v>10833</v>
      </c>
      <c r="C170">
        <v>13975</v>
      </c>
      <c r="D170">
        <v>25909</v>
      </c>
      <c r="E170">
        <v>38291</v>
      </c>
      <c r="F170">
        <v>39457</v>
      </c>
      <c r="G170">
        <v>44819</v>
      </c>
      <c r="H170">
        <v>18674</v>
      </c>
      <c r="I170" s="22">
        <v>41301</v>
      </c>
      <c r="J170">
        <v>44964</v>
      </c>
      <c r="K170">
        <v>45395</v>
      </c>
      <c r="L170">
        <v>15703</v>
      </c>
    </row>
    <row r="171" spans="1:14">
      <c r="B171">
        <v>9824</v>
      </c>
      <c r="C171">
        <v>12959</v>
      </c>
      <c r="D171">
        <v>24118</v>
      </c>
      <c r="E171">
        <v>35794</v>
      </c>
      <c r="F171">
        <v>37404</v>
      </c>
      <c r="G171">
        <v>43344</v>
      </c>
      <c r="H171">
        <v>17289</v>
      </c>
      <c r="I171" s="22">
        <v>40193</v>
      </c>
      <c r="J171">
        <v>43348</v>
      </c>
      <c r="K171">
        <v>41868</v>
      </c>
      <c r="L171">
        <v>14281</v>
      </c>
    </row>
    <row r="172" spans="1:14">
      <c r="B172">
        <v>10377</v>
      </c>
      <c r="C172">
        <v>13527</v>
      </c>
      <c r="D172">
        <v>24885</v>
      </c>
      <c r="E172">
        <v>37183</v>
      </c>
      <c r="F172">
        <v>38468</v>
      </c>
      <c r="G172">
        <v>44003</v>
      </c>
      <c r="H172">
        <v>18067</v>
      </c>
      <c r="I172" s="22">
        <v>40746</v>
      </c>
      <c r="J172">
        <v>44272</v>
      </c>
      <c r="K172">
        <v>43374</v>
      </c>
      <c r="L172">
        <v>14996</v>
      </c>
    </row>
    <row r="173" spans="1:14">
      <c r="B173">
        <v>9658</v>
      </c>
      <c r="C173">
        <v>12360</v>
      </c>
      <c r="D173">
        <v>22584</v>
      </c>
      <c r="E173">
        <v>34527</v>
      </c>
      <c r="F173">
        <v>36057</v>
      </c>
      <c r="G173">
        <v>41390</v>
      </c>
      <c r="H173">
        <v>17018</v>
      </c>
      <c r="I173" s="22">
        <v>38462</v>
      </c>
      <c r="J173">
        <v>41895</v>
      </c>
      <c r="K173">
        <v>41182</v>
      </c>
      <c r="L173">
        <v>14028</v>
      </c>
    </row>
    <row r="174" spans="1:14">
      <c r="B174">
        <v>10565</v>
      </c>
      <c r="C174">
        <v>13449</v>
      </c>
      <c r="D174">
        <v>24246</v>
      </c>
      <c r="E174">
        <v>37062</v>
      </c>
      <c r="F174">
        <v>38438</v>
      </c>
      <c r="G174">
        <v>43328</v>
      </c>
      <c r="H174">
        <v>18322</v>
      </c>
      <c r="I174" s="22">
        <v>40146</v>
      </c>
      <c r="J174">
        <v>44181</v>
      </c>
      <c r="K174">
        <v>44437</v>
      </c>
      <c r="L174">
        <v>15326</v>
      </c>
    </row>
    <row r="175" spans="1:14">
      <c r="B175">
        <v>11320</v>
      </c>
      <c r="C175">
        <v>14593</v>
      </c>
      <c r="D175">
        <v>26749</v>
      </c>
      <c r="E175">
        <v>39684</v>
      </c>
      <c r="F175">
        <v>40802</v>
      </c>
      <c r="G175">
        <v>46104</v>
      </c>
      <c r="H175">
        <v>19457</v>
      </c>
      <c r="I175" s="22">
        <v>42510</v>
      </c>
      <c r="J175">
        <v>46393</v>
      </c>
      <c r="K175">
        <v>46433</v>
      </c>
      <c r="L175">
        <v>16283</v>
      </c>
    </row>
    <row r="176" spans="1:14">
      <c r="B176">
        <v>11136</v>
      </c>
      <c r="C176">
        <v>14513</v>
      </c>
      <c r="D176">
        <v>26953</v>
      </c>
      <c r="E176">
        <v>39568</v>
      </c>
      <c r="F176">
        <v>40531</v>
      </c>
      <c r="G176">
        <v>46217</v>
      </c>
      <c r="H176">
        <v>19195</v>
      </c>
      <c r="I176" s="22">
        <v>42624</v>
      </c>
      <c r="J176">
        <v>46202</v>
      </c>
      <c r="K176">
        <v>45512</v>
      </c>
      <c r="L176">
        <v>15965</v>
      </c>
    </row>
    <row r="177" spans="1:14">
      <c r="B177">
        <v>10652</v>
      </c>
      <c r="C177">
        <v>14127</v>
      </c>
      <c r="D177">
        <v>26403</v>
      </c>
      <c r="E177">
        <v>38602</v>
      </c>
      <c r="F177">
        <v>39806</v>
      </c>
      <c r="G177">
        <v>46104</v>
      </c>
      <c r="H177">
        <v>18587</v>
      </c>
      <c r="I177" s="22">
        <v>42708</v>
      </c>
      <c r="J177">
        <v>45826</v>
      </c>
      <c r="K177">
        <v>43699</v>
      </c>
      <c r="L177">
        <v>15264</v>
      </c>
    </row>
    <row r="178" spans="1:14">
      <c r="B178">
        <v>10646</v>
      </c>
      <c r="C178">
        <v>13712</v>
      </c>
      <c r="D178">
        <v>25255</v>
      </c>
      <c r="E178">
        <v>37822</v>
      </c>
      <c r="F178">
        <v>38971</v>
      </c>
      <c r="G178">
        <v>44248</v>
      </c>
      <c r="H178">
        <v>18467</v>
      </c>
      <c r="I178" s="22">
        <v>40866</v>
      </c>
      <c r="J178">
        <v>44549</v>
      </c>
      <c r="K178">
        <v>44379</v>
      </c>
      <c r="L178">
        <v>15370</v>
      </c>
    </row>
    <row r="179" spans="1:14">
      <c r="B179">
        <v>10075</v>
      </c>
      <c r="C179">
        <v>13899</v>
      </c>
      <c r="D179">
        <v>26082</v>
      </c>
      <c r="E179">
        <v>38020</v>
      </c>
      <c r="F179">
        <v>39371</v>
      </c>
      <c r="G179">
        <v>45491</v>
      </c>
      <c r="H179">
        <v>17666</v>
      </c>
      <c r="I179" s="22">
        <v>42008</v>
      </c>
      <c r="J179">
        <v>45104</v>
      </c>
      <c r="K179">
        <v>42661</v>
      </c>
      <c r="L179">
        <v>14612</v>
      </c>
    </row>
    <row r="180" spans="1:14">
      <c r="B180">
        <v>9873</v>
      </c>
      <c r="C180">
        <v>12739</v>
      </c>
      <c r="D180">
        <v>23289</v>
      </c>
      <c r="E180">
        <v>35459</v>
      </c>
      <c r="F180">
        <v>36975</v>
      </c>
      <c r="G180">
        <v>42323</v>
      </c>
      <c r="H180">
        <v>17379</v>
      </c>
      <c r="I180" s="22">
        <v>39299</v>
      </c>
      <c r="J180">
        <v>42811</v>
      </c>
      <c r="K180">
        <v>41972</v>
      </c>
      <c r="L180">
        <v>14341</v>
      </c>
    </row>
    <row r="181" spans="1:14">
      <c r="B181">
        <v>10902</v>
      </c>
      <c r="C181">
        <v>13814</v>
      </c>
      <c r="D181">
        <v>24982</v>
      </c>
      <c r="E181">
        <v>37930</v>
      </c>
      <c r="F181">
        <v>39231</v>
      </c>
      <c r="G181">
        <v>44148</v>
      </c>
      <c r="H181">
        <v>18862</v>
      </c>
      <c r="I181" s="22">
        <v>40824</v>
      </c>
      <c r="J181">
        <v>44892</v>
      </c>
      <c r="K181">
        <v>45252</v>
      </c>
      <c r="L181">
        <v>15728</v>
      </c>
    </row>
    <row r="182" spans="1:14">
      <c r="B182">
        <v>10437</v>
      </c>
      <c r="C182">
        <v>13675</v>
      </c>
      <c r="D182">
        <v>24971</v>
      </c>
      <c r="E182">
        <v>37622</v>
      </c>
      <c r="F182">
        <v>38977</v>
      </c>
      <c r="G182">
        <v>44168</v>
      </c>
      <c r="H182">
        <v>18200</v>
      </c>
      <c r="I182" s="22">
        <v>40841</v>
      </c>
      <c r="J182">
        <v>44618</v>
      </c>
      <c r="K182">
        <v>43813</v>
      </c>
      <c r="L182">
        <v>15106</v>
      </c>
    </row>
    <row r="183" spans="1:14">
      <c r="B183">
        <v>12121</v>
      </c>
      <c r="C183">
        <v>15646</v>
      </c>
      <c r="D183">
        <v>28726</v>
      </c>
      <c r="E183">
        <v>42039</v>
      </c>
      <c r="F183">
        <v>43046</v>
      </c>
      <c r="G183">
        <v>48442</v>
      </c>
      <c r="H183">
        <v>20604</v>
      </c>
      <c r="I183" s="22">
        <v>44511</v>
      </c>
      <c r="J183">
        <v>48561</v>
      </c>
      <c r="K183">
        <v>48796</v>
      </c>
      <c r="L183">
        <v>17319</v>
      </c>
    </row>
    <row r="184" spans="1:14">
      <c r="B184">
        <v>10384</v>
      </c>
      <c r="C184">
        <v>13443</v>
      </c>
      <c r="D184">
        <v>25364</v>
      </c>
      <c r="E184">
        <v>36993</v>
      </c>
      <c r="F184">
        <v>38426</v>
      </c>
      <c r="G184">
        <v>44612</v>
      </c>
      <c r="H184">
        <v>18113</v>
      </c>
      <c r="I184" s="22">
        <v>41258</v>
      </c>
      <c r="J184">
        <v>44212</v>
      </c>
      <c r="K184">
        <v>43511</v>
      </c>
      <c r="L184">
        <v>15022</v>
      </c>
    </row>
    <row r="185" spans="1:14">
      <c r="B185">
        <v>10858</v>
      </c>
      <c r="C185">
        <v>13958</v>
      </c>
      <c r="D185">
        <v>25654</v>
      </c>
      <c r="E185">
        <v>38226</v>
      </c>
      <c r="F185">
        <v>39498</v>
      </c>
      <c r="G185">
        <v>44893</v>
      </c>
      <c r="H185">
        <v>18792</v>
      </c>
      <c r="I185" s="22">
        <v>41470</v>
      </c>
      <c r="J185">
        <v>45209</v>
      </c>
      <c r="K185">
        <v>44921</v>
      </c>
      <c r="L185">
        <v>15649</v>
      </c>
    </row>
    <row r="186" spans="1:14">
      <c r="B186">
        <v>10976</v>
      </c>
      <c r="C186">
        <v>14139</v>
      </c>
      <c r="D186">
        <v>26058</v>
      </c>
      <c r="E186">
        <v>38678</v>
      </c>
      <c r="F186">
        <v>39858</v>
      </c>
      <c r="G186">
        <v>45271</v>
      </c>
      <c r="H186">
        <v>18955</v>
      </c>
      <c r="I186" s="22">
        <v>41788</v>
      </c>
      <c r="J186">
        <v>45508</v>
      </c>
      <c r="K186">
        <v>45207</v>
      </c>
      <c r="L186">
        <v>15786</v>
      </c>
    </row>
    <row r="187" s="18" customFormat="1" spans="1:14">
      <c r="I187" s="22"/>
      <c r="N187" s="18">
        <f>AVERAGE(I169:I174,I175:I180,I181:I186)</f>
        <v>41400.8888888889</v>
      </c>
    </row>
    <row r="190" spans="1:14">
      <c r="A190" s="17" t="s">
        <v>20</v>
      </c>
      <c r="B190">
        <v>10359</v>
      </c>
      <c r="C190">
        <v>13578</v>
      </c>
      <c r="D190">
        <v>25398</v>
      </c>
      <c r="E190">
        <v>37318</v>
      </c>
      <c r="F190">
        <v>38761</v>
      </c>
      <c r="G190">
        <v>44513</v>
      </c>
      <c r="H190">
        <v>18069</v>
      </c>
      <c r="I190" s="22">
        <v>41035</v>
      </c>
      <c r="J190">
        <v>44183</v>
      </c>
      <c r="K190">
        <v>43396</v>
      </c>
      <c r="L190">
        <v>14955</v>
      </c>
    </row>
    <row r="191" spans="1:14">
      <c r="B191">
        <v>10862</v>
      </c>
      <c r="C191">
        <v>14081</v>
      </c>
      <c r="D191">
        <v>25772</v>
      </c>
      <c r="E191">
        <v>38338</v>
      </c>
      <c r="F191">
        <v>39737</v>
      </c>
      <c r="G191">
        <v>45123</v>
      </c>
      <c r="H191">
        <v>18781</v>
      </c>
      <c r="I191" s="22">
        <v>41671</v>
      </c>
      <c r="J191">
        <v>45387</v>
      </c>
      <c r="K191">
        <v>44868</v>
      </c>
      <c r="L191">
        <v>15637</v>
      </c>
    </row>
    <row r="192" spans="1:14">
      <c r="B192">
        <v>10372</v>
      </c>
      <c r="C192">
        <v>13321</v>
      </c>
      <c r="D192">
        <v>24940</v>
      </c>
      <c r="E192">
        <v>36489</v>
      </c>
      <c r="F192">
        <v>38222</v>
      </c>
      <c r="G192">
        <v>44463</v>
      </c>
      <c r="H192">
        <v>18106</v>
      </c>
      <c r="I192" s="22">
        <v>41140</v>
      </c>
      <c r="J192">
        <v>44110</v>
      </c>
      <c r="K192">
        <v>43577</v>
      </c>
      <c r="L192">
        <v>15013</v>
      </c>
    </row>
    <row r="193" spans="2:14">
      <c r="B193">
        <v>9346</v>
      </c>
      <c r="C193">
        <v>12609</v>
      </c>
      <c r="D193">
        <v>23382</v>
      </c>
      <c r="E193">
        <v>35122</v>
      </c>
      <c r="F193">
        <v>36745</v>
      </c>
      <c r="G193">
        <v>42300</v>
      </c>
      <c r="H193">
        <v>16601</v>
      </c>
      <c r="I193" s="22">
        <v>39162</v>
      </c>
      <c r="J193">
        <v>42352</v>
      </c>
      <c r="K193">
        <v>40420</v>
      </c>
      <c r="L193">
        <v>13624</v>
      </c>
    </row>
    <row r="194" spans="2:14">
      <c r="B194">
        <v>9853</v>
      </c>
      <c r="C194">
        <v>13037</v>
      </c>
      <c r="D194">
        <v>24999</v>
      </c>
      <c r="E194">
        <v>36108</v>
      </c>
      <c r="F194">
        <v>37687</v>
      </c>
      <c r="G194">
        <v>44262</v>
      </c>
      <c r="H194">
        <v>17370</v>
      </c>
      <c r="I194" s="22">
        <v>40878</v>
      </c>
      <c r="J194">
        <v>43358</v>
      </c>
      <c r="K194">
        <v>41777</v>
      </c>
      <c r="L194">
        <v>14271</v>
      </c>
    </row>
    <row r="195" spans="2:14">
      <c r="B195">
        <v>10198</v>
      </c>
      <c r="C195">
        <v>13354</v>
      </c>
      <c r="D195">
        <v>24407</v>
      </c>
      <c r="E195">
        <v>36625</v>
      </c>
      <c r="F195">
        <v>38336</v>
      </c>
      <c r="G195">
        <v>43802</v>
      </c>
      <c r="H195">
        <v>17862</v>
      </c>
      <c r="I195" s="22">
        <v>40562</v>
      </c>
      <c r="J195">
        <v>44200</v>
      </c>
      <c r="K195">
        <v>43183</v>
      </c>
      <c r="L195">
        <v>14801</v>
      </c>
    </row>
    <row r="196" spans="2:14">
      <c r="B196">
        <v>9511</v>
      </c>
      <c r="C196">
        <v>12462</v>
      </c>
      <c r="D196">
        <v>23378</v>
      </c>
      <c r="E196">
        <v>34804</v>
      </c>
      <c r="F196">
        <v>36385</v>
      </c>
      <c r="G196">
        <v>42467</v>
      </c>
      <c r="H196">
        <v>16903</v>
      </c>
      <c r="I196" s="22">
        <v>39430</v>
      </c>
      <c r="J196">
        <v>42248</v>
      </c>
      <c r="K196">
        <v>40482</v>
      </c>
      <c r="L196">
        <v>13774</v>
      </c>
    </row>
    <row r="197" spans="2:14">
      <c r="B197">
        <v>9762</v>
      </c>
      <c r="C197">
        <v>12803</v>
      </c>
      <c r="D197">
        <v>23876</v>
      </c>
      <c r="E197">
        <v>35577</v>
      </c>
      <c r="F197">
        <v>37080</v>
      </c>
      <c r="G197">
        <v>43073</v>
      </c>
      <c r="H197">
        <v>17258</v>
      </c>
      <c r="I197" s="22">
        <v>39968</v>
      </c>
      <c r="J197">
        <v>42926</v>
      </c>
      <c r="K197">
        <v>41109</v>
      </c>
      <c r="L197">
        <v>14087</v>
      </c>
    </row>
    <row r="198" spans="2:14">
      <c r="B198">
        <v>10091</v>
      </c>
      <c r="C198">
        <v>13177</v>
      </c>
      <c r="D198">
        <v>24440</v>
      </c>
      <c r="E198">
        <v>36449</v>
      </c>
      <c r="F198">
        <v>37893</v>
      </c>
      <c r="G198">
        <v>43685</v>
      </c>
      <c r="H198">
        <v>17741</v>
      </c>
      <c r="I198" s="22">
        <v>40488</v>
      </c>
      <c r="J198">
        <v>43656</v>
      </c>
      <c r="K198">
        <v>42232</v>
      </c>
      <c r="L198">
        <v>14546</v>
      </c>
    </row>
    <row r="199" spans="2:14">
      <c r="B199">
        <v>10191</v>
      </c>
      <c r="C199">
        <v>13259</v>
      </c>
      <c r="D199">
        <v>24690</v>
      </c>
      <c r="E199">
        <v>36699</v>
      </c>
      <c r="F199">
        <v>38100</v>
      </c>
      <c r="G199">
        <v>44076</v>
      </c>
      <c r="H199">
        <v>17936</v>
      </c>
      <c r="I199" s="22">
        <v>40861</v>
      </c>
      <c r="J199">
        <v>43973</v>
      </c>
      <c r="K199">
        <v>42339</v>
      </c>
      <c r="L199">
        <v>14648</v>
      </c>
    </row>
    <row r="200" spans="2:14">
      <c r="B200">
        <v>10890</v>
      </c>
      <c r="C200">
        <v>14172</v>
      </c>
      <c r="D200">
        <v>26113</v>
      </c>
      <c r="E200">
        <v>38841</v>
      </c>
      <c r="F200">
        <v>40011</v>
      </c>
      <c r="G200">
        <v>45548</v>
      </c>
      <c r="H200">
        <v>18922</v>
      </c>
      <c r="I200" s="22">
        <v>42068</v>
      </c>
      <c r="J200">
        <v>45674</v>
      </c>
      <c r="K200">
        <v>44354</v>
      </c>
      <c r="L200">
        <v>15556</v>
      </c>
    </row>
    <row r="201" spans="2:14">
      <c r="B201">
        <v>10944</v>
      </c>
      <c r="C201">
        <v>14247</v>
      </c>
      <c r="D201">
        <v>26416</v>
      </c>
      <c r="E201">
        <v>38968</v>
      </c>
      <c r="F201">
        <v>40052</v>
      </c>
      <c r="G201">
        <v>45728</v>
      </c>
      <c r="H201">
        <v>18943</v>
      </c>
      <c r="I201" s="22">
        <v>42224</v>
      </c>
      <c r="J201">
        <v>45744</v>
      </c>
      <c r="K201">
        <v>44802</v>
      </c>
      <c r="L201">
        <v>15684</v>
      </c>
    </row>
    <row r="202" spans="2:14">
      <c r="B202">
        <v>10400</v>
      </c>
      <c r="C202">
        <v>13572</v>
      </c>
      <c r="D202">
        <v>25287</v>
      </c>
      <c r="E202">
        <v>37359</v>
      </c>
      <c r="F202">
        <v>38787</v>
      </c>
      <c r="G202">
        <v>44606</v>
      </c>
      <c r="H202">
        <v>18202</v>
      </c>
      <c r="I202" s="22">
        <v>41204</v>
      </c>
      <c r="J202">
        <v>44467</v>
      </c>
      <c r="K202">
        <v>43244</v>
      </c>
      <c r="L202">
        <v>14958</v>
      </c>
    </row>
    <row r="203" spans="2:14">
      <c r="B203">
        <v>10396</v>
      </c>
      <c r="C203">
        <v>13873</v>
      </c>
      <c r="D203">
        <v>25244</v>
      </c>
      <c r="E203">
        <v>38293</v>
      </c>
      <c r="F203">
        <v>39376</v>
      </c>
      <c r="G203">
        <v>44245</v>
      </c>
      <c r="H203">
        <v>18180</v>
      </c>
      <c r="I203" s="22">
        <v>40824</v>
      </c>
      <c r="J203">
        <v>44823</v>
      </c>
      <c r="K203">
        <v>43125</v>
      </c>
      <c r="L203">
        <v>14926</v>
      </c>
    </row>
    <row r="204" spans="2:14">
      <c r="B204">
        <v>10431</v>
      </c>
      <c r="C204">
        <v>13584</v>
      </c>
      <c r="D204">
        <v>25340</v>
      </c>
      <c r="E204">
        <v>37522</v>
      </c>
      <c r="F204">
        <v>38832</v>
      </c>
      <c r="G204">
        <v>44550</v>
      </c>
      <c r="H204">
        <v>18235</v>
      </c>
      <c r="I204" s="22">
        <v>41141</v>
      </c>
      <c r="J204">
        <v>44471</v>
      </c>
      <c r="K204">
        <v>43406</v>
      </c>
      <c r="L204">
        <v>15016</v>
      </c>
    </row>
    <row r="205" spans="2:14">
      <c r="B205">
        <v>9684</v>
      </c>
      <c r="C205">
        <v>12836</v>
      </c>
      <c r="D205">
        <v>24346</v>
      </c>
      <c r="E205">
        <v>35717</v>
      </c>
      <c r="F205">
        <v>37285</v>
      </c>
      <c r="G205">
        <v>43589</v>
      </c>
      <c r="H205">
        <v>17154</v>
      </c>
      <c r="I205" s="22">
        <v>40356</v>
      </c>
      <c r="J205">
        <v>43094</v>
      </c>
      <c r="K205">
        <v>41245</v>
      </c>
      <c r="L205">
        <v>14042</v>
      </c>
    </row>
    <row r="206" spans="2:14">
      <c r="B206">
        <v>9506</v>
      </c>
      <c r="C206">
        <v>13405</v>
      </c>
      <c r="D206">
        <v>23608</v>
      </c>
      <c r="E206">
        <v>37202</v>
      </c>
      <c r="F206">
        <v>38468</v>
      </c>
      <c r="G206">
        <v>42436</v>
      </c>
      <c r="H206">
        <v>16861</v>
      </c>
      <c r="I206" s="22">
        <v>39261</v>
      </c>
      <c r="J206">
        <v>43936</v>
      </c>
      <c r="K206">
        <v>40889</v>
      </c>
      <c r="L206">
        <v>13834</v>
      </c>
    </row>
    <row r="207" spans="2:14">
      <c r="B207">
        <v>10126</v>
      </c>
      <c r="C207">
        <v>13224</v>
      </c>
      <c r="D207">
        <v>23512</v>
      </c>
      <c r="E207">
        <v>36569</v>
      </c>
      <c r="F207">
        <v>38088</v>
      </c>
      <c r="G207">
        <v>42623</v>
      </c>
      <c r="H207">
        <v>17780</v>
      </c>
      <c r="I207" s="22">
        <v>39503</v>
      </c>
      <c r="J207">
        <v>43836</v>
      </c>
      <c r="K207">
        <v>42606</v>
      </c>
      <c r="L207">
        <v>14632</v>
      </c>
    </row>
    <row r="208" s="18" customFormat="1" spans="2:14">
      <c r="I208" s="22"/>
      <c r="N208" s="18">
        <f>AVERAGE(I190:I195,I196:I201,I202:I207)</f>
        <v>40654.2222222222</v>
      </c>
    </row>
    <row r="210" spans="1:12">
      <c r="A210" s="17" t="s">
        <v>21</v>
      </c>
    </row>
    <row r="211" spans="1:12">
      <c r="B211">
        <v>10232</v>
      </c>
      <c r="C211">
        <v>13302</v>
      </c>
      <c r="D211">
        <v>24671</v>
      </c>
      <c r="E211">
        <v>36655</v>
      </c>
      <c r="F211">
        <v>38220</v>
      </c>
      <c r="G211">
        <v>44032</v>
      </c>
      <c r="H211">
        <v>17960</v>
      </c>
      <c r="I211" s="22">
        <v>40740</v>
      </c>
      <c r="J211">
        <v>43970</v>
      </c>
      <c r="K211">
        <v>42719</v>
      </c>
      <c r="L211">
        <v>14744</v>
      </c>
    </row>
    <row r="212" spans="1:12">
      <c r="B212">
        <v>10355</v>
      </c>
      <c r="C212">
        <v>12959</v>
      </c>
      <c r="D212">
        <v>24052</v>
      </c>
      <c r="E212">
        <v>36064</v>
      </c>
      <c r="F212">
        <v>37500</v>
      </c>
      <c r="G212">
        <v>43223</v>
      </c>
      <c r="H212">
        <v>18195</v>
      </c>
      <c r="I212" s="22">
        <v>40058</v>
      </c>
      <c r="J212">
        <v>43232</v>
      </c>
      <c r="K212">
        <v>42830</v>
      </c>
      <c r="L212">
        <v>14854</v>
      </c>
    </row>
    <row r="213" spans="1:12">
      <c r="B213">
        <v>9520</v>
      </c>
      <c r="C213">
        <v>12453</v>
      </c>
      <c r="D213">
        <v>23099</v>
      </c>
      <c r="E213">
        <v>35012</v>
      </c>
      <c r="F213">
        <v>36450</v>
      </c>
      <c r="G213">
        <v>41853</v>
      </c>
      <c r="H213">
        <v>16876</v>
      </c>
      <c r="I213" s="22">
        <v>38747</v>
      </c>
      <c r="J213">
        <v>41863</v>
      </c>
      <c r="K213">
        <v>40825</v>
      </c>
      <c r="L213">
        <v>13833</v>
      </c>
    </row>
    <row r="214" spans="1:12">
      <c r="B214">
        <v>9598</v>
      </c>
      <c r="C214">
        <v>12516</v>
      </c>
      <c r="D214">
        <v>22866</v>
      </c>
      <c r="E214">
        <v>35052</v>
      </c>
      <c r="F214">
        <v>36575</v>
      </c>
      <c r="G214">
        <v>41775</v>
      </c>
      <c r="H214">
        <v>17068</v>
      </c>
      <c r="I214" s="22">
        <v>38753</v>
      </c>
      <c r="J214">
        <v>42125</v>
      </c>
      <c r="K214">
        <v>40779</v>
      </c>
      <c r="L214">
        <v>13890</v>
      </c>
    </row>
    <row r="215" spans="1:12">
      <c r="B215">
        <v>10676</v>
      </c>
      <c r="C215">
        <v>13827</v>
      </c>
      <c r="D215">
        <v>24959</v>
      </c>
      <c r="E215">
        <v>38065</v>
      </c>
      <c r="F215">
        <v>39419</v>
      </c>
      <c r="G215">
        <v>44273</v>
      </c>
      <c r="H215">
        <v>18650</v>
      </c>
      <c r="I215" s="22">
        <v>40898</v>
      </c>
      <c r="J215">
        <v>45056</v>
      </c>
      <c r="K215">
        <v>43893</v>
      </c>
      <c r="L215">
        <v>15293</v>
      </c>
    </row>
    <row r="216" spans="1:12">
      <c r="B216">
        <v>9929</v>
      </c>
      <c r="C216">
        <v>12916</v>
      </c>
      <c r="D216">
        <v>24608</v>
      </c>
      <c r="E216">
        <v>35925</v>
      </c>
      <c r="F216">
        <v>37459</v>
      </c>
      <c r="G216">
        <v>43878</v>
      </c>
      <c r="H216">
        <v>17519</v>
      </c>
      <c r="I216" s="22">
        <v>40593</v>
      </c>
      <c r="J216">
        <v>43215</v>
      </c>
      <c r="K216">
        <v>41927</v>
      </c>
      <c r="L216">
        <v>14360</v>
      </c>
    </row>
    <row r="217" spans="1:12">
      <c r="B217">
        <v>10521</v>
      </c>
      <c r="C217">
        <v>13617</v>
      </c>
      <c r="D217">
        <v>25416</v>
      </c>
      <c r="E217">
        <v>37624</v>
      </c>
      <c r="F217">
        <v>38812</v>
      </c>
      <c r="G217">
        <v>44785</v>
      </c>
      <c r="H217">
        <v>18434</v>
      </c>
      <c r="I217" s="22">
        <v>41441</v>
      </c>
      <c r="J217">
        <v>44581</v>
      </c>
      <c r="K217">
        <v>42988</v>
      </c>
      <c r="L217">
        <v>15018</v>
      </c>
    </row>
    <row r="218" spans="1:12">
      <c r="B218">
        <v>9873</v>
      </c>
      <c r="C218">
        <v>12763</v>
      </c>
      <c r="D218">
        <v>23987</v>
      </c>
      <c r="E218">
        <v>35595</v>
      </c>
      <c r="F218">
        <v>37173</v>
      </c>
      <c r="G218">
        <v>43210</v>
      </c>
      <c r="H218">
        <v>17460</v>
      </c>
      <c r="I218" s="22">
        <v>39994</v>
      </c>
      <c r="J218">
        <v>42805</v>
      </c>
      <c r="K218">
        <v>41592</v>
      </c>
      <c r="L218">
        <v>14250</v>
      </c>
    </row>
    <row r="219" spans="1:12">
      <c r="B219">
        <v>9384</v>
      </c>
      <c r="C219">
        <v>12240</v>
      </c>
      <c r="D219">
        <v>23252</v>
      </c>
      <c r="E219">
        <v>34404</v>
      </c>
      <c r="F219">
        <v>36002</v>
      </c>
      <c r="G219">
        <v>42474</v>
      </c>
      <c r="H219">
        <v>16775</v>
      </c>
      <c r="I219" s="22">
        <v>39500</v>
      </c>
      <c r="J219">
        <v>41950</v>
      </c>
      <c r="K219">
        <v>39937</v>
      </c>
      <c r="L219">
        <v>13581</v>
      </c>
    </row>
    <row r="220" spans="1:12">
      <c r="B220">
        <v>9461</v>
      </c>
      <c r="C220">
        <v>12096</v>
      </c>
      <c r="D220">
        <v>21377</v>
      </c>
      <c r="E220">
        <v>34106</v>
      </c>
      <c r="F220">
        <v>35621</v>
      </c>
      <c r="G220">
        <v>40227</v>
      </c>
      <c r="H220">
        <v>16880</v>
      </c>
      <c r="I220" s="22">
        <v>37543</v>
      </c>
      <c r="J220">
        <v>41614</v>
      </c>
      <c r="K220">
        <v>40083</v>
      </c>
      <c r="L220">
        <v>13661</v>
      </c>
    </row>
    <row r="221" spans="1:12">
      <c r="B221">
        <v>10481</v>
      </c>
      <c r="C221">
        <v>13667</v>
      </c>
      <c r="D221">
        <v>25300</v>
      </c>
      <c r="E221">
        <v>37687</v>
      </c>
      <c r="F221">
        <v>38847</v>
      </c>
      <c r="G221">
        <v>44705</v>
      </c>
      <c r="H221">
        <v>18368</v>
      </c>
      <c r="I221" s="22">
        <v>41418</v>
      </c>
      <c r="J221">
        <v>44712</v>
      </c>
      <c r="K221">
        <v>42679</v>
      </c>
      <c r="L221">
        <v>14942</v>
      </c>
    </row>
    <row r="222" spans="1:12">
      <c r="B222">
        <v>9718</v>
      </c>
      <c r="C222">
        <v>12664</v>
      </c>
      <c r="D222">
        <v>23145</v>
      </c>
      <c r="E222">
        <v>35414</v>
      </c>
      <c r="F222">
        <v>36833</v>
      </c>
      <c r="G222">
        <v>42198</v>
      </c>
      <c r="H222">
        <v>17238</v>
      </c>
      <c r="I222" s="22">
        <v>39207</v>
      </c>
      <c r="J222">
        <v>42685</v>
      </c>
      <c r="K222">
        <v>40824</v>
      </c>
      <c r="L222">
        <v>13998</v>
      </c>
    </row>
    <row r="223" spans="1:12">
      <c r="B223">
        <v>9146</v>
      </c>
      <c r="C223">
        <v>11284</v>
      </c>
      <c r="D223">
        <v>20004</v>
      </c>
      <c r="E223">
        <v>32189</v>
      </c>
      <c r="F223">
        <v>33977</v>
      </c>
      <c r="G223">
        <v>38585</v>
      </c>
      <c r="H223">
        <v>16373</v>
      </c>
      <c r="I223" s="22">
        <v>36029</v>
      </c>
      <c r="J223">
        <v>39739</v>
      </c>
      <c r="K223">
        <v>39676</v>
      </c>
      <c r="L223">
        <v>13331</v>
      </c>
    </row>
    <row r="224" spans="1:12">
      <c r="B224">
        <v>9789</v>
      </c>
      <c r="C224">
        <v>12802</v>
      </c>
      <c r="D224">
        <v>23100</v>
      </c>
      <c r="E224">
        <v>35923</v>
      </c>
      <c r="F224">
        <v>37213</v>
      </c>
      <c r="G224">
        <v>41753</v>
      </c>
      <c r="H224">
        <v>17304</v>
      </c>
      <c r="I224" s="22">
        <v>38640</v>
      </c>
      <c r="J224">
        <v>42582</v>
      </c>
      <c r="K224">
        <v>41438</v>
      </c>
      <c r="L224">
        <v>14144</v>
      </c>
    </row>
    <row r="225" spans="1:14">
      <c r="B225">
        <v>10911</v>
      </c>
      <c r="C225">
        <v>14179</v>
      </c>
      <c r="D225">
        <v>25556</v>
      </c>
      <c r="E225">
        <v>38882</v>
      </c>
      <c r="F225">
        <v>40159</v>
      </c>
      <c r="G225">
        <v>44914</v>
      </c>
      <c r="H225">
        <v>18984</v>
      </c>
      <c r="I225" s="22">
        <v>41419</v>
      </c>
      <c r="J225">
        <v>45592</v>
      </c>
      <c r="K225">
        <v>44477</v>
      </c>
      <c r="L225">
        <v>15577</v>
      </c>
    </row>
    <row r="226" spans="1:14">
      <c r="B226">
        <v>9766</v>
      </c>
      <c r="C226">
        <v>12144</v>
      </c>
      <c r="D226">
        <v>22423</v>
      </c>
      <c r="E226">
        <v>34253</v>
      </c>
      <c r="F226">
        <v>35858</v>
      </c>
      <c r="G226">
        <v>41233</v>
      </c>
      <c r="H226">
        <v>17288</v>
      </c>
      <c r="I226" s="22">
        <v>38251</v>
      </c>
      <c r="J226">
        <v>41455</v>
      </c>
      <c r="K226">
        <v>41346</v>
      </c>
      <c r="L226">
        <v>14120</v>
      </c>
    </row>
    <row r="227" spans="1:14">
      <c r="B227">
        <v>9308</v>
      </c>
      <c r="C227">
        <v>12198</v>
      </c>
      <c r="D227">
        <v>23343</v>
      </c>
      <c r="E227">
        <v>34388</v>
      </c>
      <c r="F227">
        <v>35908</v>
      </c>
      <c r="G227">
        <v>42199</v>
      </c>
      <c r="H227">
        <v>16602</v>
      </c>
      <c r="I227" s="22">
        <v>39092</v>
      </c>
      <c r="J227">
        <v>41599</v>
      </c>
      <c r="K227">
        <v>40007</v>
      </c>
      <c r="L227">
        <v>13524</v>
      </c>
    </row>
    <row r="228" spans="1:14">
      <c r="B228">
        <v>10094</v>
      </c>
      <c r="C228">
        <v>12723</v>
      </c>
      <c r="D228">
        <v>21675</v>
      </c>
      <c r="E228">
        <v>35510</v>
      </c>
      <c r="F228">
        <v>37104</v>
      </c>
      <c r="G228">
        <v>40701</v>
      </c>
      <c r="H228">
        <v>17766</v>
      </c>
      <c r="I228" s="22">
        <v>37935</v>
      </c>
      <c r="J228">
        <v>42763</v>
      </c>
      <c r="K228">
        <v>42389</v>
      </c>
      <c r="L228">
        <v>14563</v>
      </c>
    </row>
    <row r="229" s="18" customFormat="1" spans="1:14">
      <c r="I229" s="22"/>
      <c r="N229" s="18">
        <f>AVERAGE(I211:I216,I217:I222,I223:I228)</f>
        <v>39458.7777777778</v>
      </c>
    </row>
    <row r="231" spans="1:14">
      <c r="A231" s="17" t="s">
        <v>22</v>
      </c>
    </row>
    <row r="233" spans="1:14">
      <c r="B233">
        <v>10003</v>
      </c>
      <c r="C233">
        <v>13011</v>
      </c>
      <c r="D233">
        <v>24441</v>
      </c>
      <c r="E233">
        <v>36382</v>
      </c>
      <c r="F233">
        <v>37665</v>
      </c>
      <c r="G233">
        <v>43317</v>
      </c>
      <c r="H233">
        <v>17653</v>
      </c>
      <c r="I233" s="22">
        <v>39969</v>
      </c>
      <c r="J233">
        <v>42987</v>
      </c>
      <c r="K233">
        <v>41864</v>
      </c>
      <c r="L233">
        <v>14398</v>
      </c>
    </row>
    <row r="234" spans="1:14">
      <c r="B234">
        <v>9583</v>
      </c>
      <c r="C234">
        <v>12479</v>
      </c>
      <c r="D234">
        <v>22122</v>
      </c>
      <c r="E234">
        <v>35142</v>
      </c>
      <c r="F234">
        <v>36550</v>
      </c>
      <c r="G234">
        <v>40820</v>
      </c>
      <c r="H234">
        <v>17027</v>
      </c>
      <c r="I234" s="22">
        <v>37869</v>
      </c>
      <c r="J234">
        <v>41967</v>
      </c>
      <c r="K234">
        <v>40745</v>
      </c>
      <c r="L234">
        <v>13868</v>
      </c>
    </row>
    <row r="235" spans="1:14">
      <c r="B235">
        <v>10135</v>
      </c>
      <c r="C235">
        <v>13219</v>
      </c>
      <c r="D235">
        <v>23852</v>
      </c>
      <c r="E235">
        <v>36769</v>
      </c>
      <c r="F235">
        <v>38100</v>
      </c>
      <c r="G235">
        <v>42962</v>
      </c>
      <c r="H235">
        <v>17860</v>
      </c>
      <c r="I235" s="22">
        <v>39783</v>
      </c>
      <c r="J235">
        <v>43574</v>
      </c>
      <c r="K235">
        <v>42292</v>
      </c>
      <c r="L235">
        <v>14588</v>
      </c>
    </row>
    <row r="236" spans="1:14">
      <c r="B236">
        <v>9603</v>
      </c>
      <c r="C236">
        <v>12554</v>
      </c>
      <c r="D236">
        <v>22648</v>
      </c>
      <c r="E236">
        <v>35251</v>
      </c>
      <c r="F236">
        <v>36649</v>
      </c>
      <c r="G236">
        <v>41349</v>
      </c>
      <c r="H236">
        <v>17029</v>
      </c>
      <c r="I236" s="22">
        <v>38309</v>
      </c>
      <c r="J236">
        <v>42029</v>
      </c>
      <c r="K236">
        <v>40826</v>
      </c>
      <c r="L236">
        <v>13906</v>
      </c>
    </row>
    <row r="237" spans="1:14">
      <c r="B237">
        <v>9930</v>
      </c>
      <c r="C237">
        <v>13067</v>
      </c>
      <c r="D237">
        <v>24559</v>
      </c>
      <c r="E237">
        <v>36484</v>
      </c>
      <c r="F237">
        <v>37767</v>
      </c>
      <c r="G237">
        <v>43499</v>
      </c>
      <c r="H237">
        <v>17533</v>
      </c>
      <c r="I237" s="22">
        <v>40128</v>
      </c>
      <c r="J237">
        <v>43101</v>
      </c>
      <c r="K237">
        <v>41710</v>
      </c>
      <c r="L237">
        <v>14312</v>
      </c>
    </row>
    <row r="238" spans="1:14">
      <c r="B238">
        <v>9148</v>
      </c>
      <c r="C238">
        <v>11812</v>
      </c>
      <c r="D238">
        <v>22743</v>
      </c>
      <c r="E238">
        <v>33564</v>
      </c>
      <c r="F238">
        <v>35122</v>
      </c>
      <c r="G238">
        <v>41472</v>
      </c>
      <c r="H238">
        <v>16346</v>
      </c>
      <c r="I238" s="22">
        <v>38429</v>
      </c>
      <c r="J238">
        <v>40538</v>
      </c>
      <c r="K238">
        <v>39705</v>
      </c>
      <c r="L238">
        <v>13342</v>
      </c>
    </row>
    <row r="239" spans="1:14">
      <c r="B239">
        <v>10580</v>
      </c>
      <c r="C239">
        <v>13920</v>
      </c>
      <c r="D239">
        <v>26121</v>
      </c>
      <c r="E239">
        <v>38475</v>
      </c>
      <c r="F239">
        <v>39577</v>
      </c>
      <c r="G239">
        <v>45407</v>
      </c>
      <c r="H239">
        <v>18524</v>
      </c>
      <c r="I239" s="22">
        <v>41854</v>
      </c>
      <c r="J239">
        <v>44945</v>
      </c>
      <c r="K239">
        <v>43402</v>
      </c>
      <c r="L239">
        <v>15135</v>
      </c>
    </row>
    <row r="240" spans="1:14">
      <c r="B240">
        <v>10194</v>
      </c>
      <c r="C240">
        <v>13310</v>
      </c>
      <c r="D240">
        <v>24024</v>
      </c>
      <c r="E240">
        <v>36995</v>
      </c>
      <c r="F240">
        <v>38282</v>
      </c>
      <c r="G240">
        <v>43263</v>
      </c>
      <c r="H240">
        <v>17989</v>
      </c>
      <c r="I240" s="22">
        <v>40138</v>
      </c>
      <c r="J240">
        <v>43976</v>
      </c>
      <c r="K240">
        <v>42135</v>
      </c>
      <c r="L240">
        <v>14609</v>
      </c>
    </row>
    <row r="241" spans="2:13">
      <c r="B241">
        <v>10151</v>
      </c>
      <c r="C241">
        <v>13034</v>
      </c>
      <c r="D241">
        <v>24678</v>
      </c>
      <c r="E241">
        <v>36210</v>
      </c>
      <c r="F241">
        <v>37656</v>
      </c>
      <c r="G241">
        <v>44128</v>
      </c>
      <c r="H241">
        <v>17919</v>
      </c>
      <c r="I241" s="22">
        <v>40928</v>
      </c>
      <c r="J241">
        <v>43547</v>
      </c>
      <c r="K241">
        <v>42032</v>
      </c>
      <c r="L241">
        <v>14564</v>
      </c>
    </row>
    <row r="242" spans="2:13">
      <c r="B242">
        <v>9593</v>
      </c>
      <c r="C242">
        <v>12513</v>
      </c>
      <c r="D242">
        <v>23075</v>
      </c>
      <c r="E242">
        <v>35151</v>
      </c>
      <c r="F242">
        <v>36567</v>
      </c>
      <c r="G242">
        <v>42117</v>
      </c>
      <c r="H242">
        <v>17062</v>
      </c>
      <c r="I242" s="22">
        <v>39146</v>
      </c>
      <c r="J242">
        <v>42341</v>
      </c>
      <c r="K242">
        <v>40639</v>
      </c>
      <c r="L242">
        <v>13858</v>
      </c>
    </row>
    <row r="243" spans="2:13">
      <c r="B243">
        <v>10071</v>
      </c>
      <c r="C243">
        <v>13073</v>
      </c>
      <c r="D243">
        <v>25183</v>
      </c>
      <c r="E243">
        <v>36287</v>
      </c>
      <c r="F243">
        <v>37679</v>
      </c>
      <c r="G243">
        <v>44581</v>
      </c>
      <c r="H243">
        <v>17766</v>
      </c>
      <c r="I243" s="22">
        <v>41270</v>
      </c>
      <c r="J243">
        <v>43459</v>
      </c>
      <c r="K243">
        <v>41746</v>
      </c>
      <c r="L243">
        <v>14451</v>
      </c>
    </row>
    <row r="244" spans="2:13">
      <c r="B244">
        <v>9688</v>
      </c>
      <c r="C244">
        <v>13136</v>
      </c>
      <c r="D244">
        <v>25071</v>
      </c>
      <c r="E244">
        <v>36595</v>
      </c>
      <c r="F244">
        <v>37873</v>
      </c>
      <c r="G244">
        <v>44281</v>
      </c>
      <c r="H244">
        <v>17200</v>
      </c>
      <c r="I244" s="22">
        <v>40931</v>
      </c>
      <c r="J244">
        <v>43506</v>
      </c>
      <c r="K244">
        <v>40867</v>
      </c>
      <c r="L244">
        <v>13982</v>
      </c>
    </row>
    <row r="245" spans="2:13">
      <c r="B245">
        <v>10264</v>
      </c>
      <c r="C245">
        <v>13500</v>
      </c>
      <c r="D245">
        <v>25576</v>
      </c>
      <c r="E245">
        <v>37717</v>
      </c>
      <c r="F245">
        <v>38596</v>
      </c>
      <c r="G245">
        <v>44302</v>
      </c>
      <c r="H245">
        <v>18035</v>
      </c>
      <c r="I245" s="22">
        <v>40788</v>
      </c>
      <c r="J245">
        <v>43847</v>
      </c>
      <c r="K245">
        <v>42293</v>
      </c>
      <c r="L245">
        <v>14673</v>
      </c>
    </row>
    <row r="246" spans="2:13">
      <c r="B246">
        <v>10694</v>
      </c>
      <c r="C246">
        <v>13996</v>
      </c>
      <c r="D246">
        <v>25514</v>
      </c>
      <c r="E246">
        <v>38277</v>
      </c>
      <c r="F246">
        <v>39637</v>
      </c>
      <c r="G246">
        <v>45244</v>
      </c>
      <c r="H246">
        <v>18707</v>
      </c>
      <c r="I246" s="22">
        <v>41930</v>
      </c>
      <c r="J246">
        <v>45549</v>
      </c>
      <c r="K246">
        <v>43498</v>
      </c>
      <c r="L246">
        <v>15261</v>
      </c>
    </row>
    <row r="247" spans="2:13">
      <c r="B247">
        <v>9738</v>
      </c>
      <c r="C247">
        <v>12583</v>
      </c>
      <c r="D247">
        <v>23603</v>
      </c>
      <c r="E247">
        <v>35325</v>
      </c>
      <c r="F247">
        <v>36638</v>
      </c>
      <c r="G247">
        <v>42644</v>
      </c>
      <c r="H247">
        <v>17295</v>
      </c>
      <c r="I247" s="22">
        <v>39632</v>
      </c>
      <c r="J247">
        <v>42585</v>
      </c>
      <c r="K247">
        <v>40755</v>
      </c>
      <c r="L247">
        <v>13986</v>
      </c>
    </row>
    <row r="248" spans="2:13">
      <c r="B248">
        <v>11259</v>
      </c>
      <c r="C248">
        <v>14500</v>
      </c>
      <c r="D248">
        <v>27600</v>
      </c>
      <c r="E248">
        <v>39632</v>
      </c>
      <c r="F248">
        <v>40725</v>
      </c>
      <c r="G248">
        <v>47456</v>
      </c>
      <c r="H248">
        <v>19549</v>
      </c>
      <c r="I248" s="22">
        <v>43805</v>
      </c>
      <c r="J248">
        <v>46465</v>
      </c>
      <c r="K248">
        <v>45067</v>
      </c>
      <c r="L248">
        <v>15976</v>
      </c>
    </row>
    <row r="249" spans="2:13">
      <c r="B249">
        <v>10548</v>
      </c>
      <c r="C249">
        <v>14116</v>
      </c>
      <c r="D249">
        <v>26541</v>
      </c>
      <c r="E249">
        <v>38905</v>
      </c>
      <c r="F249">
        <v>39871</v>
      </c>
      <c r="G249">
        <v>45872</v>
      </c>
      <c r="H249">
        <v>18471</v>
      </c>
      <c r="I249" s="22">
        <v>42273</v>
      </c>
      <c r="J249">
        <v>45317</v>
      </c>
      <c r="K249">
        <v>43114</v>
      </c>
      <c r="L249">
        <v>15054</v>
      </c>
    </row>
    <row r="250" spans="2:13">
      <c r="B250">
        <v>9704</v>
      </c>
      <c r="C250">
        <v>12847</v>
      </c>
      <c r="D250">
        <v>25206</v>
      </c>
      <c r="E250">
        <v>36057</v>
      </c>
      <c r="F250">
        <v>37209</v>
      </c>
      <c r="G250">
        <v>44154</v>
      </c>
      <c r="H250">
        <v>17231</v>
      </c>
      <c r="I250" s="22">
        <v>40789</v>
      </c>
      <c r="J250">
        <v>42841</v>
      </c>
      <c r="K250">
        <v>40646</v>
      </c>
      <c r="L250">
        <v>13945</v>
      </c>
    </row>
    <row r="251" s="18" customFormat="1" spans="2:13">
      <c r="I251" s="22">
        <f>AVERAGE(I245:I250)</f>
        <v>41536.1666666667</v>
      </c>
      <c r="M251" s="18">
        <f>AVERAGE(I233:I238,I239:I244,I245:I250)</f>
        <v>40442.8333333333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3"/>
  <sheetViews>
    <sheetView workbookViewId="0">
      <selection activeCell="X21" sqref="X21"/>
    </sheetView>
  </sheetViews>
  <sheetFormatPr defaultColWidth="9" defaultRowHeight="14.4"/>
  <cols>
    <col min="1" max="19" width="9" style="1"/>
    <col min="20" max="20" width="14.1111111111111" style="1"/>
    <col min="21" max="21" width="9" style="1"/>
    <col min="22" max="22" width="12.8888888888889" style="2"/>
    <col min="23" max="40" width="12.8888888888889" style="1"/>
    <col min="41" max="16384" width="9" style="1"/>
  </cols>
  <sheetData>
    <row r="1" s="1" customFormat="1" spans="1:4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2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</row>
    <row r="2" s="1" customFormat="1" spans="1:42">
      <c r="A2" s="1">
        <v>0.1</v>
      </c>
      <c r="B2" s="1">
        <v>50540</v>
      </c>
      <c r="C2" s="1">
        <v>51109</v>
      </c>
      <c r="D2" s="1">
        <v>50472</v>
      </c>
      <c r="E2" s="1">
        <v>48933</v>
      </c>
      <c r="F2" s="1">
        <v>50203</v>
      </c>
      <c r="G2" s="1">
        <v>50921</v>
      </c>
      <c r="H2" s="1">
        <v>48972</v>
      </c>
      <c r="I2" s="1">
        <v>49421</v>
      </c>
      <c r="J2" s="1">
        <v>48592</v>
      </c>
      <c r="K2" s="1">
        <v>49194</v>
      </c>
      <c r="L2" s="1">
        <v>50543</v>
      </c>
      <c r="M2" s="1">
        <v>46999</v>
      </c>
      <c r="N2" s="1">
        <v>50760</v>
      </c>
      <c r="O2" s="1">
        <v>49244</v>
      </c>
      <c r="P2" s="1">
        <v>48901</v>
      </c>
      <c r="Q2" s="1">
        <v>48039</v>
      </c>
      <c r="R2" s="1">
        <v>46999</v>
      </c>
      <c r="S2" s="1">
        <v>50164</v>
      </c>
      <c r="T2" s="1">
        <v>-1</v>
      </c>
      <c r="U2" s="1">
        <v>55093</v>
      </c>
      <c r="V2" s="20">
        <v>49444.7777777778</v>
      </c>
      <c r="W2" s="1">
        <f t="shared" ref="W2:W13" si="0">LOG10(U2/B2)</f>
        <v>0.0374611842352752</v>
      </c>
      <c r="X2" s="1">
        <v>0.0325990381977355</v>
      </c>
      <c r="Y2" s="1">
        <v>0.038045907421244</v>
      </c>
      <c r="Z2" s="1">
        <v>0.0514945793781355</v>
      </c>
      <c r="AA2" s="1">
        <v>0.0403667515961342</v>
      </c>
      <c r="AB2" s="1">
        <v>0.0341994979644685</v>
      </c>
      <c r="AC2" s="1">
        <v>0.0511485809982754</v>
      </c>
      <c r="AD2" s="1">
        <v>0.0471848930135709</v>
      </c>
      <c r="AE2" s="1">
        <v>0.0545316472449812</v>
      </c>
      <c r="AF2" s="1">
        <v>0.0491842850232044</v>
      </c>
      <c r="AG2" s="1">
        <v>0.0374354057473773</v>
      </c>
      <c r="AH2" s="1">
        <v>0.0690078042898818</v>
      </c>
      <c r="AI2" s="1">
        <v>0.035574808396504</v>
      </c>
      <c r="AJ2" s="1">
        <v>0.0487430991810986</v>
      </c>
      <c r="AK2" s="1">
        <v>0.0517786815086117</v>
      </c>
      <c r="AL2" s="1">
        <v>0.0595024634505446</v>
      </c>
      <c r="AM2" s="1">
        <v>0.0690078042898818</v>
      </c>
      <c r="AN2" s="1">
        <f t="shared" ref="AN2:AN13" si="1">LOG10(U2/S2)</f>
        <v>0.0407042626435241</v>
      </c>
      <c r="AO2" s="21">
        <v>0.0471094830322472</v>
      </c>
      <c r="AP2" s="1">
        <v>0.0111081792426811</v>
      </c>
    </row>
    <row r="3" s="1" customFormat="1" spans="1:42">
      <c r="A3" s="1">
        <v>0.5</v>
      </c>
      <c r="B3" s="1">
        <v>46789</v>
      </c>
      <c r="C3" s="1">
        <v>47369</v>
      </c>
      <c r="D3" s="1">
        <v>46344</v>
      </c>
      <c r="E3" s="1">
        <v>46644</v>
      </c>
      <c r="F3" s="1">
        <v>49217</v>
      </c>
      <c r="G3" s="1">
        <v>48844</v>
      </c>
      <c r="H3" s="1">
        <v>48465</v>
      </c>
      <c r="I3" s="1">
        <v>49394</v>
      </c>
      <c r="J3" s="1">
        <v>49166</v>
      </c>
      <c r="K3" s="1">
        <v>49747</v>
      </c>
      <c r="L3" s="1">
        <v>49515</v>
      </c>
      <c r="M3" s="1">
        <v>48535</v>
      </c>
      <c r="N3" s="1">
        <v>46753</v>
      </c>
      <c r="O3" s="1">
        <v>45025</v>
      </c>
      <c r="P3" s="1">
        <v>47082</v>
      </c>
      <c r="Q3" s="1">
        <v>46816</v>
      </c>
      <c r="R3" s="1">
        <v>46768</v>
      </c>
      <c r="S3" s="1">
        <v>45377</v>
      </c>
      <c r="T3" s="1">
        <v>-0.301029995663981</v>
      </c>
      <c r="U3" s="1">
        <v>55093</v>
      </c>
      <c r="V3" s="20">
        <v>47658.3333333333</v>
      </c>
      <c r="W3" s="1">
        <f t="shared" si="0"/>
        <v>0.070952658506086</v>
      </c>
      <c r="X3" s="1">
        <v>0.0656022053214453</v>
      </c>
      <c r="Y3" s="1">
        <v>0.0751029063281704</v>
      </c>
      <c r="Z3" s="1">
        <v>0.0723006351402799</v>
      </c>
      <c r="AA3" s="1">
        <v>0.0489812838695601</v>
      </c>
      <c r="AB3" s="1">
        <v>0.0522851992491521</v>
      </c>
      <c r="AC3" s="1">
        <v>0.0556682047458459</v>
      </c>
      <c r="AD3" s="1">
        <v>0.0474222244167628</v>
      </c>
      <c r="AE3" s="1">
        <v>0.0494315450033135</v>
      </c>
      <c r="AF3" s="1">
        <v>0.0443295261390391</v>
      </c>
      <c r="AG3" s="1">
        <v>0.0463596384331783</v>
      </c>
      <c r="AH3" s="1">
        <v>0.0550413878590303</v>
      </c>
      <c r="AI3" s="1">
        <v>0.07128693834018</v>
      </c>
      <c r="AJ3" s="1">
        <v>0.0876427003276002</v>
      </c>
      <c r="AK3" s="1">
        <v>0.0682415188262976</v>
      </c>
      <c r="AL3" s="1">
        <v>0.0707021173739543</v>
      </c>
      <c r="AM3" s="1">
        <v>0.0711476238058099</v>
      </c>
      <c r="AN3" s="1">
        <f t="shared" si="1"/>
        <v>0.0842606417403595</v>
      </c>
      <c r="AO3" s="21">
        <v>0.0631532753014481</v>
      </c>
      <c r="AP3" s="1">
        <v>0.0134260298566077</v>
      </c>
    </row>
    <row r="4" s="1" customFormat="1" spans="1:42">
      <c r="A4" s="1">
        <v>1</v>
      </c>
      <c r="B4" s="1">
        <v>45270</v>
      </c>
      <c r="C4" s="1">
        <v>45877</v>
      </c>
      <c r="D4" s="1">
        <v>46721</v>
      </c>
      <c r="E4" s="1">
        <v>47446</v>
      </c>
      <c r="F4" s="1">
        <v>46188</v>
      </c>
      <c r="G4" s="1">
        <v>45962</v>
      </c>
      <c r="H4" s="1">
        <v>46972</v>
      </c>
      <c r="I4" s="1">
        <v>45033</v>
      </c>
      <c r="J4" s="1">
        <v>44313</v>
      </c>
      <c r="K4" s="1">
        <v>45850</v>
      </c>
      <c r="L4" s="1">
        <v>46859</v>
      </c>
      <c r="M4" s="1">
        <v>45643</v>
      </c>
      <c r="N4" s="1">
        <v>44078</v>
      </c>
      <c r="O4" s="1">
        <v>46577</v>
      </c>
      <c r="P4" s="1">
        <v>45616</v>
      </c>
      <c r="Q4" s="1">
        <v>45992</v>
      </c>
      <c r="R4" s="1">
        <v>45621</v>
      </c>
      <c r="S4" s="1">
        <v>45344</v>
      </c>
      <c r="T4" s="1">
        <v>0</v>
      </c>
      <c r="U4" s="1">
        <v>55093</v>
      </c>
      <c r="V4" s="20">
        <v>45853.4444444445</v>
      </c>
      <c r="W4" s="1">
        <f t="shared" si="0"/>
        <v>0.0852859273239189</v>
      </c>
      <c r="X4" s="1">
        <v>0.0795014111523652</v>
      </c>
      <c r="Y4" s="1">
        <v>0.071584292127625</v>
      </c>
      <c r="Z4" s="1">
        <v>0.0648968173035549</v>
      </c>
      <c r="AA4" s="1">
        <v>0.0765672646769554</v>
      </c>
      <c r="AB4" s="1">
        <v>0.0786975034115931</v>
      </c>
      <c r="AC4" s="1">
        <v>0.0692573696096946</v>
      </c>
      <c r="AD4" s="1">
        <v>0.0875655421436662</v>
      </c>
      <c r="AE4" s="1">
        <v>0.094565268958808</v>
      </c>
      <c r="AF4" s="1">
        <v>0.0797570818131313</v>
      </c>
      <c r="AG4" s="1">
        <v>0.070303405571798</v>
      </c>
      <c r="AH4" s="1">
        <v>0.0817222400469832</v>
      </c>
      <c r="AI4" s="1">
        <v>0.0968745412537827</v>
      </c>
      <c r="AJ4" s="1">
        <v>0.0729249093981784</v>
      </c>
      <c r="AK4" s="1">
        <v>0.0819792218537864</v>
      </c>
      <c r="AL4" s="1">
        <v>0.0784141261812527</v>
      </c>
      <c r="AM4" s="1">
        <v>0.0819316211564445</v>
      </c>
      <c r="AN4" s="1">
        <f t="shared" si="1"/>
        <v>0.0845765932518047</v>
      </c>
      <c r="AO4" s="21">
        <v>0.0798002854019635</v>
      </c>
      <c r="AP4" s="1">
        <v>0.0083582840105217</v>
      </c>
    </row>
    <row r="5" s="1" customFormat="1" spans="1:42">
      <c r="A5" s="1">
        <v>1.5</v>
      </c>
      <c r="B5" s="1">
        <v>45573</v>
      </c>
      <c r="C5" s="1">
        <v>44769</v>
      </c>
      <c r="D5" s="1">
        <v>45538</v>
      </c>
      <c r="E5" s="1">
        <v>44891</v>
      </c>
      <c r="F5" s="1">
        <v>44983</v>
      </c>
      <c r="G5" s="1">
        <v>45785</v>
      </c>
      <c r="H5" s="1">
        <v>45292</v>
      </c>
      <c r="I5" s="1">
        <v>45825</v>
      </c>
      <c r="J5" s="1">
        <v>45716</v>
      </c>
      <c r="K5" s="1">
        <v>44869</v>
      </c>
      <c r="L5" s="1">
        <v>44064</v>
      </c>
      <c r="M5" s="1">
        <v>44046</v>
      </c>
      <c r="N5" s="1">
        <v>44987</v>
      </c>
      <c r="O5" s="1">
        <v>44512</v>
      </c>
      <c r="P5" s="1">
        <v>43025</v>
      </c>
      <c r="Q5" s="1">
        <v>43624</v>
      </c>
      <c r="R5" s="1">
        <v>43161</v>
      </c>
      <c r="S5" s="1">
        <v>45215</v>
      </c>
      <c r="T5" s="1">
        <v>0.176091259055681</v>
      </c>
      <c r="U5" s="1">
        <v>55093</v>
      </c>
      <c r="V5" s="20">
        <v>44770.8333333333</v>
      </c>
      <c r="W5" s="1">
        <f t="shared" si="0"/>
        <v>0.0823888033626523</v>
      </c>
      <c r="X5" s="1">
        <v>0.0901190281132391</v>
      </c>
      <c r="Y5" s="1">
        <v>0.0827224690586564</v>
      </c>
      <c r="Z5" s="1">
        <v>0.0889371418876752</v>
      </c>
      <c r="AA5" s="1">
        <v>0.0880480058463056</v>
      </c>
      <c r="AB5" s="1">
        <v>0.0803732032963698</v>
      </c>
      <c r="AC5" s="1">
        <v>0.0850749231767088</v>
      </c>
      <c r="AD5" s="1">
        <v>0.0799939481849169</v>
      </c>
      <c r="AE5" s="1">
        <v>0.0810281977758063</v>
      </c>
      <c r="AF5" s="1">
        <v>0.0891500313438515</v>
      </c>
      <c r="AG5" s="1">
        <v>0.0970125032423415</v>
      </c>
      <c r="AH5" s="1">
        <v>0.0971899473640759</v>
      </c>
      <c r="AI5" s="1">
        <v>0.0880093890200578</v>
      </c>
      <c r="AJ5" s="1">
        <v>0.0926193135072188</v>
      </c>
      <c r="AK5" s="1">
        <v>0.107375542819573</v>
      </c>
      <c r="AL5" s="1">
        <v>0.101370937140406</v>
      </c>
      <c r="AM5" s="1">
        <v>0.106004923494796</v>
      </c>
      <c r="AN5" s="1">
        <f t="shared" si="1"/>
        <v>0.0858138866419578</v>
      </c>
      <c r="AO5" s="21">
        <v>0.090179566404256</v>
      </c>
      <c r="AP5" s="1">
        <v>0.00850645964124334</v>
      </c>
    </row>
    <row r="6" s="1" customFormat="1" spans="1:42">
      <c r="A6" s="1">
        <v>2</v>
      </c>
      <c r="B6" s="1">
        <v>43721</v>
      </c>
      <c r="C6" s="1">
        <v>44300</v>
      </c>
      <c r="D6" s="1">
        <v>44868</v>
      </c>
      <c r="E6" s="1">
        <v>43516</v>
      </c>
      <c r="F6" s="1">
        <v>43813</v>
      </c>
      <c r="G6" s="1">
        <v>44613</v>
      </c>
      <c r="H6" s="1">
        <v>44054</v>
      </c>
      <c r="I6" s="1">
        <v>42136</v>
      </c>
      <c r="J6" s="1">
        <v>41289</v>
      </c>
      <c r="K6" s="1">
        <v>42897</v>
      </c>
      <c r="L6" s="1">
        <v>42786</v>
      </c>
      <c r="M6" s="1">
        <v>42246</v>
      </c>
      <c r="N6" s="1">
        <v>43864</v>
      </c>
      <c r="O6" s="1">
        <v>43661</v>
      </c>
      <c r="P6" s="1">
        <v>42953</v>
      </c>
      <c r="Q6" s="1">
        <v>43979</v>
      </c>
      <c r="R6" s="1">
        <v>44855</v>
      </c>
      <c r="S6" s="1">
        <v>42759</v>
      </c>
      <c r="T6" s="1">
        <v>0.301029995663981</v>
      </c>
      <c r="U6" s="1">
        <v>55093</v>
      </c>
      <c r="V6" s="20">
        <v>43461.6666666667</v>
      </c>
      <c r="W6" s="1">
        <f t="shared" si="0"/>
        <v>0.100406335112521</v>
      </c>
      <c r="X6" s="1">
        <v>0.0946926955961016</v>
      </c>
      <c r="Y6" s="1">
        <v>0.0891597106173267</v>
      </c>
      <c r="Z6" s="1">
        <v>0.102447453735804</v>
      </c>
      <c r="AA6" s="1">
        <v>0.0994934302516181</v>
      </c>
      <c r="AB6" s="1">
        <v>0.0916349934746953</v>
      </c>
      <c r="AC6" s="1">
        <v>0.0971110743592002</v>
      </c>
      <c r="AD6" s="1">
        <v>0.116443116469747</v>
      </c>
      <c r="AE6" s="1">
        <v>0.125262057223497</v>
      </c>
      <c r="AF6" s="1">
        <v>0.108669500939883</v>
      </c>
      <c r="AG6" s="1">
        <v>0.109794734987685</v>
      </c>
      <c r="AH6" s="1">
        <v>0.115310827117273</v>
      </c>
      <c r="AI6" s="1">
        <v>0.0989881889437467</v>
      </c>
      <c r="AJ6" s="1">
        <v>0.101002743366152</v>
      </c>
      <c r="AK6" s="1">
        <v>0.108102919823144</v>
      </c>
      <c r="AL6" s="1">
        <v>0.0978510717243538</v>
      </c>
      <c r="AM6" s="1">
        <v>0.0892855608074508</v>
      </c>
      <c r="AN6" s="1">
        <f t="shared" si="1"/>
        <v>0.110068881960641</v>
      </c>
      <c r="AO6" s="21">
        <v>0.103095849806158</v>
      </c>
      <c r="AP6" s="1">
        <v>0.00988297809616979</v>
      </c>
    </row>
    <row r="7" s="1" customFormat="1" spans="1:42">
      <c r="A7" s="1">
        <v>2.5</v>
      </c>
      <c r="B7" s="1">
        <v>43093</v>
      </c>
      <c r="C7" s="1">
        <v>43016</v>
      </c>
      <c r="D7" s="1">
        <v>44371</v>
      </c>
      <c r="E7" s="1">
        <v>44075</v>
      </c>
      <c r="F7" s="1">
        <v>42814</v>
      </c>
      <c r="G7" s="1">
        <v>42443</v>
      </c>
      <c r="H7" s="1">
        <v>42372</v>
      </c>
      <c r="I7" s="1">
        <v>43460</v>
      </c>
      <c r="J7" s="1">
        <v>44115</v>
      </c>
      <c r="K7" s="1">
        <v>42198</v>
      </c>
      <c r="L7" s="1">
        <v>43691</v>
      </c>
      <c r="M7" s="1">
        <v>42473</v>
      </c>
      <c r="N7" s="1">
        <v>43559</v>
      </c>
      <c r="O7" s="1">
        <v>43232</v>
      </c>
      <c r="P7" s="1">
        <v>43219</v>
      </c>
      <c r="Q7" s="1">
        <v>43629</v>
      </c>
      <c r="R7" s="1">
        <v>43135</v>
      </c>
      <c r="S7" s="1">
        <v>43621</v>
      </c>
      <c r="T7" s="1">
        <v>0.397940008672038</v>
      </c>
      <c r="U7" s="1">
        <v>55093</v>
      </c>
      <c r="V7" s="20">
        <v>43250.8888888889</v>
      </c>
      <c r="W7" s="1">
        <f t="shared" si="0"/>
        <v>0.106689692453632</v>
      </c>
      <c r="X7" s="1">
        <v>0.107466398350108</v>
      </c>
      <c r="Y7" s="1">
        <v>0.0939972051921369</v>
      </c>
      <c r="Z7" s="1">
        <v>0.0969041008478115</v>
      </c>
      <c r="AA7" s="1">
        <v>0.109510617092194</v>
      </c>
      <c r="AB7" s="1">
        <v>0.113290348253423</v>
      </c>
      <c r="AC7" s="1">
        <v>0.114017458208449</v>
      </c>
      <c r="AD7" s="1">
        <v>0.103006699834665</v>
      </c>
      <c r="AE7" s="1">
        <v>0.0965101382564205</v>
      </c>
      <c r="AF7" s="1">
        <v>0.115804554022121</v>
      </c>
      <c r="AG7" s="1">
        <v>0.100704436859848</v>
      </c>
      <c r="AH7" s="1">
        <v>0.112983484176001</v>
      </c>
      <c r="AI7" s="1">
        <v>0.102018520879304</v>
      </c>
      <c r="AJ7" s="1">
        <v>0.105291094477235</v>
      </c>
      <c r="AK7" s="1">
        <v>0.10542170784914</v>
      </c>
      <c r="AL7" s="1">
        <v>0.101321162979933</v>
      </c>
      <c r="AM7" s="1">
        <v>0.106266619445272</v>
      </c>
      <c r="AN7" s="1">
        <f t="shared" si="1"/>
        <v>0.101400804375118</v>
      </c>
      <c r="AO7" s="21">
        <v>0.105144724641823</v>
      </c>
      <c r="AP7" s="1">
        <v>0.0063142125970147</v>
      </c>
    </row>
    <row r="8" s="1" customFormat="1" spans="1:42">
      <c r="A8" s="1">
        <v>3</v>
      </c>
      <c r="B8" s="1">
        <v>42903</v>
      </c>
      <c r="C8" s="1">
        <v>42812</v>
      </c>
      <c r="D8" s="1">
        <v>42215</v>
      </c>
      <c r="E8" s="1">
        <v>42878</v>
      </c>
      <c r="F8" s="1">
        <v>42438</v>
      </c>
      <c r="G8" s="1">
        <v>42265</v>
      </c>
      <c r="H8" s="1">
        <v>42036</v>
      </c>
      <c r="I8" s="1">
        <v>42133</v>
      </c>
      <c r="J8" s="1">
        <v>42639</v>
      </c>
      <c r="K8" s="1">
        <v>43365</v>
      </c>
      <c r="L8" s="1">
        <v>41808</v>
      </c>
      <c r="M8" s="1">
        <v>41270</v>
      </c>
      <c r="N8" s="1">
        <v>42869</v>
      </c>
      <c r="O8" s="1">
        <v>42705</v>
      </c>
      <c r="P8" s="1">
        <v>41154</v>
      </c>
      <c r="Q8" s="1">
        <v>42490</v>
      </c>
      <c r="R8" s="1">
        <v>42943</v>
      </c>
      <c r="S8" s="1">
        <v>42382</v>
      </c>
      <c r="T8" s="1">
        <v>0.477121254719662</v>
      </c>
      <c r="U8" s="1">
        <v>55093</v>
      </c>
      <c r="V8" s="20">
        <v>42405.8333333333</v>
      </c>
      <c r="W8" s="1">
        <f t="shared" si="0"/>
        <v>0.108608760452804</v>
      </c>
      <c r="X8" s="1">
        <v>0.109530905064632</v>
      </c>
      <c r="Y8" s="1">
        <v>0.115629628209932</v>
      </c>
      <c r="Z8" s="1">
        <v>0.108861901879343</v>
      </c>
      <c r="AA8" s="1">
        <v>0.11334151335308</v>
      </c>
      <c r="AB8" s="1">
        <v>0.115115548507501</v>
      </c>
      <c r="AC8" s="1">
        <v>0.117475038453854</v>
      </c>
      <c r="AD8" s="1">
        <v>0.116474038480124</v>
      </c>
      <c r="AE8" s="1">
        <v>0.111289411062723</v>
      </c>
      <c r="AF8" s="1">
        <v>0.103957071092832</v>
      </c>
      <c r="AG8" s="1">
        <v>0.119837029435921</v>
      </c>
      <c r="AH8" s="1">
        <v>0.125461952941755</v>
      </c>
      <c r="AI8" s="1">
        <v>0.108953068925455</v>
      </c>
      <c r="AJ8" s="1">
        <v>0.110617695616535</v>
      </c>
      <c r="AK8" s="1">
        <v>0.126684368577041</v>
      </c>
      <c r="AL8" s="1">
        <v>0.112809690729657</v>
      </c>
      <c r="AM8" s="1">
        <v>0.108204040826186</v>
      </c>
      <c r="AN8" s="1">
        <f t="shared" si="1"/>
        <v>0.113914974671644</v>
      </c>
      <c r="AO8" s="21">
        <v>0.113709257682279</v>
      </c>
      <c r="AP8" s="1">
        <v>0.00595534444992206</v>
      </c>
    </row>
    <row r="9" s="1" customFormat="1" spans="1:42">
      <c r="A9" s="1">
        <v>3.5</v>
      </c>
      <c r="B9" s="1">
        <v>42397</v>
      </c>
      <c r="C9" s="1">
        <v>42854</v>
      </c>
      <c r="D9" s="1">
        <v>41779</v>
      </c>
      <c r="E9" s="1">
        <v>40307</v>
      </c>
      <c r="F9" s="1">
        <v>41888</v>
      </c>
      <c r="G9" s="1">
        <v>40588</v>
      </c>
      <c r="H9" s="1">
        <v>42450</v>
      </c>
      <c r="I9" s="1">
        <v>42026</v>
      </c>
      <c r="J9" s="1">
        <v>41450</v>
      </c>
      <c r="K9" s="1">
        <v>39848</v>
      </c>
      <c r="L9" s="1">
        <v>40937</v>
      </c>
      <c r="M9" s="1">
        <v>41897</v>
      </c>
      <c r="N9" s="1">
        <v>42496</v>
      </c>
      <c r="O9" s="1">
        <v>41411</v>
      </c>
      <c r="P9" s="1">
        <v>42797</v>
      </c>
      <c r="Q9" s="1">
        <v>42396</v>
      </c>
      <c r="R9" s="1">
        <v>41768</v>
      </c>
      <c r="S9" s="1">
        <v>41657</v>
      </c>
      <c r="T9" s="1">
        <v>0.544068044350276</v>
      </c>
      <c r="U9" s="1">
        <v>55093</v>
      </c>
      <c r="V9" s="20">
        <v>41719.2222222222</v>
      </c>
      <c r="W9" s="1">
        <f t="shared" si="0"/>
        <v>0.113761294696732</v>
      </c>
      <c r="X9" s="1">
        <v>0.109105056543598</v>
      </c>
      <c r="Y9" s="1">
        <v>0.120138381093009</v>
      </c>
      <c r="Z9" s="1">
        <v>0.135715946462709</v>
      </c>
      <c r="AA9" s="1">
        <v>0.119006796948509</v>
      </c>
      <c r="AB9" s="1">
        <v>0.132698770116658</v>
      </c>
      <c r="AC9" s="1">
        <v>0.1132187272392</v>
      </c>
      <c r="AD9" s="1">
        <v>0.117578365637112</v>
      </c>
      <c r="AE9" s="1">
        <v>0.123571886932879</v>
      </c>
      <c r="AF9" s="1">
        <v>0.140689893094844</v>
      </c>
      <c r="AG9" s="1">
        <v>0.12898040887579</v>
      </c>
      <c r="AH9" s="1">
        <v>0.118913495036421</v>
      </c>
      <c r="AI9" s="1">
        <v>0.112748368467267</v>
      </c>
      <c r="AJ9" s="1">
        <v>0.1239807037718</v>
      </c>
      <c r="AK9" s="1">
        <v>0.109683095074916</v>
      </c>
      <c r="AL9" s="1">
        <v>0.113771538336701</v>
      </c>
      <c r="AM9" s="1">
        <v>0.120252741616512</v>
      </c>
      <c r="AN9" s="1">
        <f t="shared" si="1"/>
        <v>0.12140843154012</v>
      </c>
      <c r="AO9" s="21">
        <v>0.12084577230471</v>
      </c>
      <c r="AP9" s="1">
        <v>0.00889223343977863</v>
      </c>
    </row>
    <row r="10" s="1" customFormat="1" spans="1:42">
      <c r="A10" s="1">
        <v>4</v>
      </c>
      <c r="B10" s="1">
        <v>43661</v>
      </c>
      <c r="C10" s="1">
        <v>41301</v>
      </c>
      <c r="D10" s="1">
        <v>40193</v>
      </c>
      <c r="E10" s="1">
        <v>40746</v>
      </c>
      <c r="F10" s="1">
        <v>38462</v>
      </c>
      <c r="G10" s="1">
        <v>40146</v>
      </c>
      <c r="H10" s="1">
        <v>42510</v>
      </c>
      <c r="I10" s="1">
        <v>42624</v>
      </c>
      <c r="J10" s="1">
        <v>42708</v>
      </c>
      <c r="K10" s="1">
        <v>40866</v>
      </c>
      <c r="L10" s="1">
        <v>42008</v>
      </c>
      <c r="M10" s="1">
        <v>39299</v>
      </c>
      <c r="N10" s="1">
        <v>40824</v>
      </c>
      <c r="O10" s="1">
        <v>40841</v>
      </c>
      <c r="P10" s="1">
        <v>44511</v>
      </c>
      <c r="Q10" s="1">
        <v>41258</v>
      </c>
      <c r="R10" s="1">
        <v>41470</v>
      </c>
      <c r="S10" s="1">
        <v>41788</v>
      </c>
      <c r="T10" s="1">
        <v>0.602059991327962</v>
      </c>
      <c r="U10" s="1">
        <v>55093</v>
      </c>
      <c r="V10" s="20">
        <v>41400.8888888889</v>
      </c>
      <c r="W10" s="1">
        <f t="shared" si="0"/>
        <v>0.101002743366152</v>
      </c>
      <c r="X10" s="1">
        <v>0.125135854685187</v>
      </c>
      <c r="Y10" s="1">
        <v>0.136945998736841</v>
      </c>
      <c r="Z10" s="1">
        <v>0.131011440968782</v>
      </c>
      <c r="AA10" s="1">
        <v>0.156064558287475</v>
      </c>
      <c r="AB10" s="1">
        <v>0.137454141556097</v>
      </c>
      <c r="AC10" s="1">
        <v>0.112605316852048</v>
      </c>
      <c r="AD10" s="1">
        <v>0.111442218664983</v>
      </c>
      <c r="AE10" s="1">
        <v>0.1105871877677</v>
      </c>
      <c r="AF10" s="1">
        <v>0.129734291152919</v>
      </c>
      <c r="AG10" s="1">
        <v>0.117764416540171</v>
      </c>
      <c r="AH10" s="1">
        <v>0.146714922334517</v>
      </c>
      <c r="AI10" s="1">
        <v>0.130180866494996</v>
      </c>
      <c r="AJ10" s="1">
        <v>0.130000054487429</v>
      </c>
      <c r="AK10" s="1">
        <v>0.0926290704123314</v>
      </c>
      <c r="AL10" s="1">
        <v>0.125588250291008</v>
      </c>
      <c r="AM10" s="1">
        <v>0.123362386455153</v>
      </c>
      <c r="AN10" s="1">
        <f t="shared" si="1"/>
        <v>0.120044835785597</v>
      </c>
      <c r="AO10" s="21">
        <v>0.124348253046633</v>
      </c>
      <c r="AP10" s="1">
        <v>0.0155032707150207</v>
      </c>
    </row>
    <row r="11" s="1" customFormat="1" spans="1:42">
      <c r="A11" s="1">
        <v>4.5</v>
      </c>
      <c r="B11" s="1">
        <v>41035</v>
      </c>
      <c r="C11" s="1">
        <v>41671</v>
      </c>
      <c r="D11" s="1">
        <v>41140</v>
      </c>
      <c r="E11" s="1">
        <v>39162</v>
      </c>
      <c r="F11" s="1">
        <v>40878</v>
      </c>
      <c r="G11" s="1">
        <v>40562</v>
      </c>
      <c r="H11" s="1">
        <v>39430</v>
      </c>
      <c r="I11" s="1">
        <v>39968</v>
      </c>
      <c r="J11" s="1">
        <v>40488</v>
      </c>
      <c r="K11" s="1">
        <v>40861</v>
      </c>
      <c r="L11" s="1">
        <v>42068</v>
      </c>
      <c r="M11" s="1">
        <v>42224</v>
      </c>
      <c r="N11" s="1">
        <v>41204</v>
      </c>
      <c r="O11" s="1">
        <v>40824</v>
      </c>
      <c r="P11" s="1">
        <v>41141</v>
      </c>
      <c r="Q11" s="1">
        <v>40356</v>
      </c>
      <c r="R11" s="1">
        <v>39261</v>
      </c>
      <c r="S11" s="1">
        <v>39503</v>
      </c>
      <c r="T11" s="1">
        <v>0.653212513775344</v>
      </c>
      <c r="U11" s="1">
        <v>55093</v>
      </c>
      <c r="V11" s="20">
        <v>40654.2222222222</v>
      </c>
      <c r="W11" s="1">
        <f t="shared" si="0"/>
        <v>0.127941984059906</v>
      </c>
      <c r="X11" s="1">
        <v>0.121262499253161</v>
      </c>
      <c r="Y11" s="1">
        <v>0.126832134460466</v>
      </c>
      <c r="Z11" s="1">
        <v>0.148231558739551</v>
      </c>
      <c r="AA11" s="1">
        <v>0.12960678249613</v>
      </c>
      <c r="AB11" s="1">
        <v>0.132977061106574</v>
      </c>
      <c r="AC11" s="1">
        <v>0.145269644745948</v>
      </c>
      <c r="AD11" s="1">
        <v>0.13938400512513</v>
      </c>
      <c r="AE11" s="1">
        <v>0.13377009751844</v>
      </c>
      <c r="AF11" s="1">
        <v>0.129787430810859</v>
      </c>
      <c r="AG11" s="1">
        <v>0.1171445565721</v>
      </c>
      <c r="AH11" s="1">
        <v>0.115537048943197</v>
      </c>
      <c r="AI11" s="1">
        <v>0.126157043319919</v>
      </c>
      <c r="AJ11" s="1">
        <v>0.130180866494996</v>
      </c>
      <c r="AK11" s="1">
        <v>0.126821578087016</v>
      </c>
      <c r="AL11" s="1">
        <v>0.135188308456911</v>
      </c>
      <c r="AM11" s="1">
        <v>0.147135064686845</v>
      </c>
      <c r="AN11" s="1">
        <f t="shared" si="1"/>
        <v>0.144466343054189</v>
      </c>
      <c r="AO11" s="21">
        <v>0.132094111551741</v>
      </c>
      <c r="AP11" s="1">
        <v>0.00975497995201314</v>
      </c>
    </row>
    <row r="12" s="1" customFormat="1" spans="1:42">
      <c r="A12" s="1">
        <v>5.5</v>
      </c>
      <c r="B12" s="1">
        <v>40740</v>
      </c>
      <c r="C12" s="1">
        <v>40058</v>
      </c>
      <c r="D12" s="1">
        <v>38747</v>
      </c>
      <c r="E12" s="1">
        <v>38753</v>
      </c>
      <c r="F12" s="1">
        <v>40898</v>
      </c>
      <c r="G12" s="1">
        <v>40593</v>
      </c>
      <c r="H12" s="1">
        <v>41441</v>
      </c>
      <c r="I12" s="1">
        <v>39994</v>
      </c>
      <c r="J12" s="1">
        <v>39500</v>
      </c>
      <c r="K12" s="1">
        <v>37543</v>
      </c>
      <c r="L12" s="1">
        <v>41418</v>
      </c>
      <c r="M12" s="1">
        <v>39207</v>
      </c>
      <c r="N12" s="1">
        <v>36029</v>
      </c>
      <c r="O12" s="1">
        <v>38640</v>
      </c>
      <c r="P12" s="1">
        <v>41419</v>
      </c>
      <c r="Q12" s="1">
        <v>38251</v>
      </c>
      <c r="R12" s="1">
        <v>39092</v>
      </c>
      <c r="S12" s="1">
        <v>37935</v>
      </c>
      <c r="T12" s="1">
        <v>0.740362689494244</v>
      </c>
      <c r="U12" s="1">
        <v>55093</v>
      </c>
      <c r="V12" s="20">
        <v>39458.7777777778</v>
      </c>
      <c r="W12" s="1">
        <f t="shared" si="0"/>
        <v>0.131075397155026</v>
      </c>
      <c r="X12" s="1">
        <v>0.138407159603669</v>
      </c>
      <c r="Y12" s="1">
        <v>0.152858339077036</v>
      </c>
      <c r="Z12" s="1">
        <v>0.152791093479704</v>
      </c>
      <c r="AA12" s="1">
        <v>0.129394351225066</v>
      </c>
      <c r="AB12" s="1">
        <v>0.132645273056699</v>
      </c>
      <c r="AC12" s="1">
        <v>0.123666195129245</v>
      </c>
      <c r="AD12" s="1">
        <v>0.139101579549796</v>
      </c>
      <c r="AE12" s="1">
        <v>0.144499326192711</v>
      </c>
      <c r="AF12" s="1">
        <v>0.166567448382307</v>
      </c>
      <c r="AG12" s="1">
        <v>0.123907298047222</v>
      </c>
      <c r="AH12" s="1">
        <v>0.147732809136174</v>
      </c>
      <c r="AI12" s="1">
        <v>0.184444213554745</v>
      </c>
      <c r="AJ12" s="1">
        <v>0.154059304075715</v>
      </c>
      <c r="AK12" s="1">
        <v>0.123896812527902</v>
      </c>
      <c r="AL12" s="1">
        <v>0.15845362837385</v>
      </c>
      <c r="AM12" s="1">
        <v>0.149008531720914</v>
      </c>
      <c r="AN12" s="1">
        <f t="shared" si="1"/>
        <v>0.162056333419085</v>
      </c>
      <c r="AO12" s="21">
        <v>0.145253616317048</v>
      </c>
      <c r="AP12" s="1">
        <v>0.016687049180111</v>
      </c>
    </row>
    <row r="13" s="1" customFormat="1" spans="1:42">
      <c r="A13" s="1">
        <v>6.5</v>
      </c>
      <c r="B13" s="1">
        <v>39969</v>
      </c>
      <c r="C13" s="1">
        <v>37869</v>
      </c>
      <c r="D13" s="1">
        <v>39783</v>
      </c>
      <c r="E13" s="1">
        <v>38309</v>
      </c>
      <c r="F13" s="1">
        <v>40128</v>
      </c>
      <c r="G13" s="1">
        <v>38429</v>
      </c>
      <c r="H13" s="1">
        <v>41854</v>
      </c>
      <c r="I13" s="1">
        <v>40138</v>
      </c>
      <c r="J13" s="1">
        <v>40928</v>
      </c>
      <c r="K13" s="1">
        <v>39146</v>
      </c>
      <c r="L13" s="1">
        <v>41270</v>
      </c>
      <c r="M13" s="1">
        <v>40931</v>
      </c>
      <c r="N13" s="1">
        <v>40788</v>
      </c>
      <c r="O13" s="1">
        <v>41930</v>
      </c>
      <c r="P13" s="1">
        <v>39632</v>
      </c>
      <c r="Q13" s="1">
        <v>43805</v>
      </c>
      <c r="R13" s="1">
        <v>42273</v>
      </c>
      <c r="S13" s="1">
        <v>40789</v>
      </c>
      <c r="T13" s="1">
        <v>0.812913356642856</v>
      </c>
      <c r="U13" s="1">
        <v>55093</v>
      </c>
      <c r="V13" s="20">
        <v>40442.8333333333</v>
      </c>
      <c r="W13" s="1">
        <f t="shared" si="0"/>
        <v>0.13937313920617</v>
      </c>
      <c r="X13" s="1">
        <v>0.162812584884667</v>
      </c>
      <c r="Y13" s="1">
        <v>0.141398892042322</v>
      </c>
      <c r="Z13" s="1">
        <v>0.157795606305688</v>
      </c>
      <c r="AA13" s="1">
        <v>0.137648907004568</v>
      </c>
      <c r="AB13" s="1">
        <v>0.156437338425144</v>
      </c>
      <c r="AC13" s="1">
        <v>0.1193594518456</v>
      </c>
      <c r="AD13" s="1">
        <v>0.137540693194449</v>
      </c>
      <c r="AE13" s="1">
        <v>0.129075899020611</v>
      </c>
      <c r="AF13" s="1">
        <v>0.148409030053009</v>
      </c>
      <c r="AG13" s="1">
        <v>0.125461952941755</v>
      </c>
      <c r="AH13" s="1">
        <v>0.129044066639412</v>
      </c>
      <c r="AI13" s="1">
        <v>0.130564011188487</v>
      </c>
      <c r="AJ13" s="1">
        <v>0.118571559415603</v>
      </c>
      <c r="AK13" s="1">
        <v>0.143050432577409</v>
      </c>
      <c r="AL13" s="1">
        <v>0.0995727371489424</v>
      </c>
      <c r="AM13" s="1">
        <v>0.115033352196597</v>
      </c>
      <c r="AN13" s="1">
        <f t="shared" si="1"/>
        <v>0.130553363714764</v>
      </c>
      <c r="AO13" s="21">
        <v>0.134539056544733</v>
      </c>
      <c r="AP13" s="1">
        <v>0.0161542919869521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1"/>
  <sheetViews>
    <sheetView workbookViewId="0">
      <selection activeCell="E6" sqref="E6"/>
    </sheetView>
  </sheetViews>
  <sheetFormatPr defaultColWidth="9" defaultRowHeight="14.4"/>
  <cols>
    <col min="2" max="8" width="9" style="1"/>
    <col min="9" max="9" width="13.7777777777778" style="5" customWidth="1"/>
    <col min="10" max="12" width="9" style="1"/>
    <col min="13" max="14" width="12.8888888888889" style="1"/>
    <col min="15" max="16384" width="9" style="1"/>
  </cols>
  <sheetData>
    <row r="1" s="1" customFormat="1" spans="1:12">
      <c r="A1"/>
      <c r="B1" s="6" t="s">
        <v>0</v>
      </c>
      <c r="C1" s="7" t="s">
        <v>1</v>
      </c>
      <c r="D1" s="8" t="s">
        <v>2</v>
      </c>
      <c r="E1" s="9" t="s">
        <v>3</v>
      </c>
      <c r="F1" s="10" t="s">
        <v>4</v>
      </c>
      <c r="G1" s="11" t="s">
        <v>5</v>
      </c>
      <c r="H1" s="12" t="s">
        <v>6</v>
      </c>
      <c r="I1" s="13" t="s">
        <v>7</v>
      </c>
      <c r="J1" s="14" t="s">
        <v>8</v>
      </c>
      <c r="K1" s="15" t="s">
        <v>9</v>
      </c>
      <c r="L1" s="16" t="s">
        <v>10</v>
      </c>
    </row>
    <row r="2" s="1" customFormat="1" spans="1:12">
      <c r="A2" s="17" t="s">
        <v>11</v>
      </c>
      <c r="B2" s="1">
        <v>13578</v>
      </c>
      <c r="C2" s="1">
        <v>17238</v>
      </c>
      <c r="D2" s="1">
        <v>30502</v>
      </c>
      <c r="E2" s="1">
        <v>44155</v>
      </c>
      <c r="F2" s="1">
        <v>47074</v>
      </c>
      <c r="G2" s="1">
        <v>54348</v>
      </c>
      <c r="H2" s="1">
        <v>23294</v>
      </c>
      <c r="I2" s="5">
        <v>50352</v>
      </c>
      <c r="J2" s="1">
        <v>54030</v>
      </c>
      <c r="K2" s="1">
        <v>50505</v>
      </c>
      <c r="L2" s="1">
        <v>18838</v>
      </c>
    </row>
    <row r="3" s="1" customFormat="1" spans="1:12">
      <c r="A3"/>
      <c r="B3" s="1">
        <v>13209</v>
      </c>
      <c r="C3" s="1">
        <v>16693</v>
      </c>
      <c r="D3" s="1">
        <v>29494</v>
      </c>
      <c r="E3" s="1">
        <v>42889</v>
      </c>
      <c r="F3" s="1">
        <v>45908</v>
      </c>
      <c r="G3" s="1">
        <v>53031</v>
      </c>
      <c r="H3" s="1">
        <v>22706</v>
      </c>
      <c r="I3" s="5">
        <v>49169</v>
      </c>
      <c r="J3" s="1">
        <v>52856</v>
      </c>
      <c r="K3" s="1">
        <v>49673</v>
      </c>
      <c r="L3" s="1">
        <v>18387</v>
      </c>
    </row>
    <row r="4" s="1" customFormat="1" spans="1:12">
      <c r="A4"/>
      <c r="B4" s="1">
        <v>12638</v>
      </c>
      <c r="C4" s="1">
        <v>16042</v>
      </c>
      <c r="D4" s="1">
        <v>28406</v>
      </c>
      <c r="E4" s="1">
        <v>41442</v>
      </c>
      <c r="F4" s="1">
        <v>44379</v>
      </c>
      <c r="G4" s="1">
        <v>51673</v>
      </c>
      <c r="H4" s="1">
        <v>21872</v>
      </c>
      <c r="I4" s="5">
        <v>48111</v>
      </c>
      <c r="J4" s="1">
        <v>51637</v>
      </c>
      <c r="K4" s="1">
        <v>48063</v>
      </c>
      <c r="L4" s="1">
        <v>17646</v>
      </c>
    </row>
    <row r="5" s="1" customFormat="1" spans="1:12">
      <c r="A5"/>
      <c r="B5" s="1">
        <v>13149</v>
      </c>
      <c r="C5" s="1">
        <v>16542</v>
      </c>
      <c r="D5" s="1">
        <v>28938</v>
      </c>
      <c r="E5" s="1">
        <v>42359</v>
      </c>
      <c r="F5" s="1">
        <v>45491</v>
      </c>
      <c r="G5" s="1">
        <v>52595</v>
      </c>
      <c r="H5" s="1">
        <v>22641</v>
      </c>
      <c r="I5" s="5">
        <v>48958</v>
      </c>
      <c r="J5" s="1">
        <v>52879</v>
      </c>
      <c r="K5" s="1">
        <v>49512</v>
      </c>
      <c r="L5" s="1">
        <v>18314</v>
      </c>
    </row>
    <row r="6" s="1" customFormat="1" spans="1:12">
      <c r="A6"/>
      <c r="B6" s="1">
        <v>13557</v>
      </c>
      <c r="C6" s="1">
        <v>17105</v>
      </c>
      <c r="D6" s="1">
        <v>30026</v>
      </c>
      <c r="E6" s="1">
        <v>43616</v>
      </c>
      <c r="F6" s="1">
        <v>46842</v>
      </c>
      <c r="G6" s="1">
        <v>54121</v>
      </c>
      <c r="H6" s="1">
        <v>23245</v>
      </c>
      <c r="I6" s="5">
        <v>50205</v>
      </c>
      <c r="J6" s="1">
        <v>54010</v>
      </c>
      <c r="K6" s="1">
        <v>50646</v>
      </c>
      <c r="L6" s="1">
        <v>18849</v>
      </c>
    </row>
    <row r="7" s="1" customFormat="1" spans="1:12">
      <c r="A7"/>
      <c r="B7" s="1">
        <v>12770</v>
      </c>
      <c r="C7" s="1">
        <v>16179</v>
      </c>
      <c r="D7" s="1">
        <v>28513</v>
      </c>
      <c r="E7" s="1">
        <v>41739</v>
      </c>
      <c r="F7" s="1">
        <v>44703</v>
      </c>
      <c r="G7" s="1">
        <v>51899</v>
      </c>
      <c r="H7" s="1">
        <v>22069</v>
      </c>
      <c r="I7" s="5">
        <v>48329</v>
      </c>
      <c r="J7" s="1">
        <v>51981</v>
      </c>
      <c r="K7" s="1">
        <v>48403</v>
      </c>
      <c r="L7" s="1">
        <v>17809</v>
      </c>
    </row>
    <row r="8" s="1" customFormat="1" spans="1:12">
      <c r="A8"/>
      <c r="B8" s="1">
        <v>12720</v>
      </c>
      <c r="C8" s="1">
        <v>16170</v>
      </c>
      <c r="D8" s="1">
        <v>28804</v>
      </c>
      <c r="E8" s="1">
        <v>42001</v>
      </c>
      <c r="F8" s="1">
        <v>44724</v>
      </c>
      <c r="G8" s="1">
        <v>51645</v>
      </c>
      <c r="H8" s="1">
        <v>21931</v>
      </c>
      <c r="I8" s="5">
        <v>47869</v>
      </c>
      <c r="J8" s="1">
        <v>51463</v>
      </c>
      <c r="K8" s="1">
        <v>48478</v>
      </c>
      <c r="L8" s="1">
        <v>17788</v>
      </c>
    </row>
    <row r="9" s="1" customFormat="1" spans="1:12">
      <c r="A9"/>
      <c r="B9" s="1">
        <v>12518</v>
      </c>
      <c r="C9" s="1">
        <v>15990</v>
      </c>
      <c r="D9" s="1">
        <v>28431</v>
      </c>
      <c r="E9" s="1">
        <v>41500</v>
      </c>
      <c r="F9" s="1">
        <v>44314</v>
      </c>
      <c r="G9" s="1">
        <v>51447</v>
      </c>
      <c r="H9" s="1">
        <v>21662</v>
      </c>
      <c r="I9" s="5">
        <v>47818</v>
      </c>
      <c r="J9" s="1">
        <v>51366</v>
      </c>
      <c r="K9" s="1">
        <v>47898</v>
      </c>
      <c r="L9" s="1">
        <v>17527</v>
      </c>
    </row>
    <row r="10" s="1" customFormat="1" spans="1:12">
      <c r="A10"/>
      <c r="B10" s="1">
        <v>12291</v>
      </c>
      <c r="C10" s="1">
        <v>15567</v>
      </c>
      <c r="D10" s="1">
        <v>27679</v>
      </c>
      <c r="E10" s="1">
        <v>40637</v>
      </c>
      <c r="F10" s="1">
        <v>43450</v>
      </c>
      <c r="G10" s="1">
        <v>50299</v>
      </c>
      <c r="H10" s="1">
        <v>21301</v>
      </c>
      <c r="I10" s="5">
        <v>46715</v>
      </c>
      <c r="J10" s="1">
        <v>50315</v>
      </c>
      <c r="K10" s="1">
        <v>47482</v>
      </c>
      <c r="L10" s="1">
        <v>17282</v>
      </c>
    </row>
    <row r="11" s="1" customFormat="1" spans="1:12">
      <c r="A11"/>
      <c r="B11" s="1">
        <v>13054</v>
      </c>
      <c r="C11" s="1">
        <v>16560</v>
      </c>
      <c r="D11" s="1">
        <v>29305</v>
      </c>
      <c r="E11" s="1">
        <v>42511</v>
      </c>
      <c r="F11" s="1">
        <v>45498</v>
      </c>
      <c r="G11" s="1">
        <v>52951</v>
      </c>
      <c r="H11" s="1">
        <v>22489</v>
      </c>
      <c r="I11" s="5">
        <v>49173</v>
      </c>
      <c r="J11" s="1">
        <v>52610</v>
      </c>
      <c r="K11" s="1">
        <v>48875</v>
      </c>
      <c r="L11" s="1">
        <v>18139</v>
      </c>
    </row>
    <row r="12" s="1" customFormat="1" spans="1:12">
      <c r="A12"/>
      <c r="B12" s="1">
        <v>12930</v>
      </c>
      <c r="C12" s="1">
        <v>16421</v>
      </c>
      <c r="D12" s="1">
        <v>28452</v>
      </c>
      <c r="E12" s="1">
        <v>42418</v>
      </c>
      <c r="F12" s="1">
        <v>45244</v>
      </c>
      <c r="G12" s="1">
        <v>51305</v>
      </c>
      <c r="H12" s="1">
        <v>22264</v>
      </c>
      <c r="I12" s="5">
        <v>47608</v>
      </c>
      <c r="J12" s="1">
        <v>52141</v>
      </c>
      <c r="K12" s="1">
        <v>48834</v>
      </c>
      <c r="L12" s="1">
        <v>18021</v>
      </c>
    </row>
    <row r="13" s="1" customFormat="1" spans="1:12">
      <c r="A13"/>
      <c r="B13" s="1">
        <v>12120</v>
      </c>
      <c r="C13" s="1">
        <v>15495</v>
      </c>
      <c r="D13" s="1">
        <v>27877</v>
      </c>
      <c r="E13" s="1">
        <v>40430</v>
      </c>
      <c r="F13" s="1">
        <v>43225</v>
      </c>
      <c r="G13" s="1">
        <v>50707</v>
      </c>
      <c r="H13" s="1">
        <v>21054</v>
      </c>
      <c r="I13" s="5">
        <v>47137</v>
      </c>
      <c r="J13" s="1">
        <v>50160</v>
      </c>
      <c r="K13" s="1">
        <v>46685</v>
      </c>
      <c r="L13" s="1">
        <v>16998</v>
      </c>
    </row>
    <row r="14" s="1" customFormat="1" spans="1:12">
      <c r="A14"/>
      <c r="B14" s="1">
        <v>12932</v>
      </c>
      <c r="C14" s="1">
        <v>16426</v>
      </c>
      <c r="D14" s="1">
        <v>29035</v>
      </c>
      <c r="E14" s="1">
        <v>42157</v>
      </c>
      <c r="F14" s="1">
        <v>45342</v>
      </c>
      <c r="G14" s="1">
        <v>52845</v>
      </c>
      <c r="H14" s="1">
        <v>22330</v>
      </c>
      <c r="I14" s="5">
        <v>49126</v>
      </c>
      <c r="J14" s="1">
        <v>52560</v>
      </c>
      <c r="K14" s="1">
        <v>48829</v>
      </c>
      <c r="L14" s="1">
        <v>18027</v>
      </c>
    </row>
    <row r="15" s="1" customFormat="1" spans="1:12">
      <c r="A15"/>
      <c r="B15" s="1">
        <v>13053</v>
      </c>
      <c r="C15" s="1">
        <v>16536</v>
      </c>
      <c r="D15" s="1">
        <v>29267</v>
      </c>
      <c r="E15" s="1">
        <v>42606</v>
      </c>
      <c r="F15" s="1">
        <v>45595</v>
      </c>
      <c r="G15" s="1">
        <v>52874</v>
      </c>
      <c r="H15" s="1">
        <v>22497</v>
      </c>
      <c r="I15" s="5">
        <v>49091</v>
      </c>
      <c r="J15" s="1">
        <v>52650</v>
      </c>
      <c r="K15" s="1">
        <v>49083</v>
      </c>
      <c r="L15" s="1">
        <v>18174</v>
      </c>
    </row>
    <row r="16" s="1" customFormat="1" spans="1:12">
      <c r="A16"/>
      <c r="B16" s="1">
        <v>13644</v>
      </c>
      <c r="C16" s="1">
        <v>17256</v>
      </c>
      <c r="D16" s="1">
        <v>30219</v>
      </c>
      <c r="E16" s="1">
        <v>43910</v>
      </c>
      <c r="F16" s="1">
        <v>47126</v>
      </c>
      <c r="G16" s="1">
        <v>54221</v>
      </c>
      <c r="H16" s="1">
        <v>23381</v>
      </c>
      <c r="I16" s="5">
        <v>50209</v>
      </c>
      <c r="J16" s="1">
        <v>54142</v>
      </c>
      <c r="K16" s="1">
        <v>50934</v>
      </c>
      <c r="L16" s="1">
        <v>18974</v>
      </c>
    </row>
    <row r="17" s="1" customFormat="1" spans="1:14">
      <c r="A17"/>
      <c r="B17" s="1">
        <v>12455</v>
      </c>
      <c r="C17" s="1">
        <v>15802</v>
      </c>
      <c r="D17" s="1">
        <v>27871</v>
      </c>
      <c r="E17" s="1">
        <v>40822</v>
      </c>
      <c r="F17" s="1">
        <v>43955</v>
      </c>
      <c r="G17" s="1">
        <v>51003</v>
      </c>
      <c r="H17" s="1">
        <v>21564</v>
      </c>
      <c r="I17" s="5">
        <v>47387</v>
      </c>
      <c r="J17" s="1">
        <v>50976</v>
      </c>
      <c r="K17" s="1">
        <v>47936</v>
      </c>
      <c r="L17" s="1">
        <v>17470</v>
      </c>
    </row>
    <row r="18" s="1" customFormat="1" spans="1:14">
      <c r="A18"/>
      <c r="B18" s="1">
        <v>13018</v>
      </c>
      <c r="C18" s="1">
        <v>16436</v>
      </c>
      <c r="D18" s="1">
        <v>28792</v>
      </c>
      <c r="E18" s="1">
        <v>42117</v>
      </c>
      <c r="F18" s="1">
        <v>45222</v>
      </c>
      <c r="G18" s="1">
        <v>52372</v>
      </c>
      <c r="H18" s="1">
        <v>22409</v>
      </c>
      <c r="I18" s="5">
        <v>48709</v>
      </c>
      <c r="J18" s="1">
        <v>52490</v>
      </c>
      <c r="K18" s="1">
        <v>49245</v>
      </c>
      <c r="L18" s="1">
        <v>18163</v>
      </c>
    </row>
    <row r="19" s="1" customFormat="1" spans="1:14">
      <c r="A19"/>
      <c r="B19" s="1">
        <v>13789</v>
      </c>
      <c r="C19" s="1">
        <v>17376</v>
      </c>
      <c r="D19" s="1">
        <v>30359</v>
      </c>
      <c r="E19" s="1">
        <v>44044</v>
      </c>
      <c r="F19" s="1">
        <v>47363</v>
      </c>
      <c r="G19" s="1">
        <v>54756</v>
      </c>
      <c r="H19" s="1">
        <v>23600</v>
      </c>
      <c r="I19" s="5">
        <v>50825</v>
      </c>
      <c r="J19" s="1">
        <v>54705</v>
      </c>
      <c r="K19" s="1">
        <v>51300</v>
      </c>
      <c r="L19" s="1">
        <v>19151</v>
      </c>
    </row>
    <row r="20" s="4" customFormat="1" spans="1:14">
      <c r="A20" s="18"/>
      <c r="N20" s="4">
        <f>AVERAGE(I2:I19)</f>
        <v>48710.6111111111</v>
      </c>
    </row>
    <row r="22" s="1" customFormat="1" spans="1:14">
      <c r="A22" s="17" t="s">
        <v>12</v>
      </c>
      <c r="B22" s="1">
        <v>12315</v>
      </c>
      <c r="C22" s="1">
        <v>15707</v>
      </c>
      <c r="D22" s="1">
        <v>28053</v>
      </c>
      <c r="E22" s="1">
        <v>40899</v>
      </c>
      <c r="F22" s="1">
        <v>43539</v>
      </c>
      <c r="G22" s="1">
        <v>50302</v>
      </c>
      <c r="H22" s="1">
        <v>21237</v>
      </c>
      <c r="I22" s="5">
        <v>46606</v>
      </c>
      <c r="J22" s="1">
        <v>50178</v>
      </c>
      <c r="K22" s="1">
        <v>47730</v>
      </c>
      <c r="L22" s="1">
        <v>17322</v>
      </c>
    </row>
    <row r="23" s="1" customFormat="1" spans="1:14">
      <c r="A23"/>
      <c r="B23" s="1">
        <v>12420</v>
      </c>
      <c r="C23" s="1">
        <v>15883</v>
      </c>
      <c r="D23" s="1">
        <v>28124</v>
      </c>
      <c r="E23" s="1">
        <v>41155</v>
      </c>
      <c r="F23" s="1">
        <v>43808</v>
      </c>
      <c r="G23" s="1">
        <v>50698</v>
      </c>
      <c r="H23" s="1">
        <v>21401</v>
      </c>
      <c r="I23" s="5">
        <v>47129</v>
      </c>
      <c r="J23" s="1">
        <v>50855</v>
      </c>
      <c r="K23" s="1">
        <v>47773</v>
      </c>
      <c r="L23" s="1">
        <v>17423</v>
      </c>
    </row>
    <row r="24" s="1" customFormat="1" spans="1:14">
      <c r="A24"/>
      <c r="B24" s="1">
        <v>12963</v>
      </c>
      <c r="C24" s="1">
        <v>16437</v>
      </c>
      <c r="D24" s="1">
        <v>29122</v>
      </c>
      <c r="E24" s="1">
        <v>42371</v>
      </c>
      <c r="F24" s="1">
        <v>45278</v>
      </c>
      <c r="G24" s="1">
        <v>52148</v>
      </c>
      <c r="H24" s="1">
        <v>22258</v>
      </c>
      <c r="I24" s="5">
        <v>48253</v>
      </c>
      <c r="J24" s="1">
        <v>52079</v>
      </c>
      <c r="K24" s="1">
        <v>49559</v>
      </c>
      <c r="L24" s="1">
        <v>18171</v>
      </c>
    </row>
    <row r="25" s="1" customFormat="1" spans="1:14">
      <c r="A25"/>
      <c r="B25" s="1">
        <v>12855</v>
      </c>
      <c r="C25" s="1">
        <v>16606</v>
      </c>
      <c r="D25" s="1">
        <v>28562</v>
      </c>
      <c r="E25" s="1">
        <v>42564</v>
      </c>
      <c r="F25" s="1">
        <v>45533</v>
      </c>
      <c r="G25" s="1">
        <v>51378</v>
      </c>
      <c r="H25" s="1">
        <v>22056</v>
      </c>
      <c r="I25" s="5">
        <v>47616</v>
      </c>
      <c r="J25" s="1">
        <v>52413</v>
      </c>
      <c r="K25" s="1">
        <v>49255</v>
      </c>
      <c r="L25" s="1">
        <v>18024</v>
      </c>
    </row>
    <row r="26" s="1" customFormat="1" spans="1:14">
      <c r="A26"/>
      <c r="B26" s="1">
        <v>12436</v>
      </c>
      <c r="C26" s="1">
        <v>15873</v>
      </c>
      <c r="D26" s="1">
        <v>28138</v>
      </c>
      <c r="E26" s="1">
        <v>41231</v>
      </c>
      <c r="F26" s="1">
        <v>43668</v>
      </c>
      <c r="G26" s="1">
        <v>50211</v>
      </c>
      <c r="H26" s="1">
        <v>21351</v>
      </c>
      <c r="I26" s="5">
        <v>46594</v>
      </c>
      <c r="J26" s="1">
        <v>50406</v>
      </c>
      <c r="K26" s="1">
        <v>47780</v>
      </c>
      <c r="L26" s="1">
        <v>17433</v>
      </c>
    </row>
    <row r="27" s="1" customFormat="1" spans="1:14">
      <c r="A27"/>
      <c r="B27" s="1">
        <v>13019</v>
      </c>
      <c r="C27" s="1">
        <v>16541</v>
      </c>
      <c r="D27" s="1">
        <v>29269</v>
      </c>
      <c r="E27" s="1">
        <v>42504</v>
      </c>
      <c r="F27" s="1">
        <v>45229</v>
      </c>
      <c r="G27" s="1">
        <v>52364</v>
      </c>
      <c r="H27" s="1">
        <v>22327</v>
      </c>
      <c r="I27" s="5">
        <v>48650</v>
      </c>
      <c r="J27" s="1">
        <v>52397</v>
      </c>
      <c r="K27" s="1">
        <v>49410</v>
      </c>
      <c r="L27" s="1">
        <v>18195</v>
      </c>
    </row>
    <row r="28" s="1" customFormat="1" spans="1:14">
      <c r="A28"/>
      <c r="B28" s="1">
        <v>12947</v>
      </c>
      <c r="C28" s="1">
        <v>16365</v>
      </c>
      <c r="D28" s="1">
        <v>28852</v>
      </c>
      <c r="E28" s="1">
        <v>42007</v>
      </c>
      <c r="F28" s="1">
        <v>45124</v>
      </c>
      <c r="G28" s="1">
        <v>52023</v>
      </c>
      <c r="H28" s="1">
        <v>22247</v>
      </c>
      <c r="I28" s="5">
        <v>48153</v>
      </c>
      <c r="J28" s="1">
        <v>51939</v>
      </c>
      <c r="K28" s="1">
        <v>49459</v>
      </c>
      <c r="L28" s="1">
        <v>18138</v>
      </c>
    </row>
    <row r="29" s="1" customFormat="1" spans="1:14">
      <c r="A29"/>
      <c r="B29" s="1">
        <v>12800</v>
      </c>
      <c r="C29" s="1">
        <v>16222</v>
      </c>
      <c r="D29" s="1">
        <v>28664</v>
      </c>
      <c r="E29" s="1">
        <v>41847</v>
      </c>
      <c r="F29" s="1">
        <v>44809</v>
      </c>
      <c r="G29" s="1">
        <v>51689</v>
      </c>
      <c r="H29" s="1">
        <v>22023</v>
      </c>
      <c r="I29" s="5">
        <v>47909</v>
      </c>
      <c r="J29" s="1">
        <v>51658</v>
      </c>
      <c r="K29" s="1">
        <v>48938</v>
      </c>
      <c r="L29" s="1">
        <v>17933</v>
      </c>
    </row>
    <row r="30" s="1" customFormat="1" spans="1:14">
      <c r="A30"/>
      <c r="B30" s="1">
        <v>12582</v>
      </c>
      <c r="C30" s="1">
        <v>15940</v>
      </c>
      <c r="D30" s="1">
        <v>27968</v>
      </c>
      <c r="E30" s="1">
        <v>40926</v>
      </c>
      <c r="F30" s="1">
        <v>44246</v>
      </c>
      <c r="G30" s="1">
        <v>51302</v>
      </c>
      <c r="H30" s="1">
        <v>21746</v>
      </c>
      <c r="I30" s="5">
        <v>47667</v>
      </c>
      <c r="J30" s="1">
        <v>51364</v>
      </c>
      <c r="K30" s="1">
        <v>48431</v>
      </c>
      <c r="L30" s="1">
        <v>17661</v>
      </c>
    </row>
    <row r="31" s="1" customFormat="1" spans="1:14">
      <c r="A31"/>
      <c r="B31" s="1">
        <v>12246</v>
      </c>
      <c r="C31" s="1">
        <v>15489</v>
      </c>
      <c r="D31" s="1">
        <v>27286</v>
      </c>
      <c r="E31" s="1">
        <v>40093</v>
      </c>
      <c r="F31" s="1">
        <v>43267</v>
      </c>
      <c r="G31" s="1">
        <v>50206</v>
      </c>
      <c r="H31" s="1">
        <v>21221</v>
      </c>
      <c r="I31" s="5">
        <v>46673</v>
      </c>
      <c r="J31" s="1">
        <v>50322</v>
      </c>
      <c r="K31" s="1">
        <v>47588</v>
      </c>
      <c r="L31" s="1">
        <v>17237</v>
      </c>
    </row>
    <row r="32" s="1" customFormat="1" spans="1:14">
      <c r="A32"/>
      <c r="B32" s="1">
        <v>12946</v>
      </c>
      <c r="C32" s="1">
        <v>16410</v>
      </c>
      <c r="D32" s="1">
        <v>29041</v>
      </c>
      <c r="E32" s="1">
        <v>42402</v>
      </c>
      <c r="F32" s="1">
        <v>45280</v>
      </c>
      <c r="G32" s="1">
        <v>52043</v>
      </c>
      <c r="H32" s="1">
        <v>22234</v>
      </c>
      <c r="I32" s="5">
        <v>48165</v>
      </c>
      <c r="J32" s="1">
        <v>52040</v>
      </c>
      <c r="K32" s="1">
        <v>49559</v>
      </c>
      <c r="L32" s="1">
        <v>18149</v>
      </c>
    </row>
    <row r="33" s="1" customFormat="1" spans="1:14">
      <c r="A33"/>
      <c r="B33" s="1">
        <v>13395</v>
      </c>
      <c r="C33" s="1">
        <v>16964</v>
      </c>
      <c r="D33" s="1">
        <v>29825</v>
      </c>
      <c r="E33" s="1">
        <v>43338</v>
      </c>
      <c r="F33" s="1">
        <v>46460</v>
      </c>
      <c r="G33" s="1">
        <v>53456</v>
      </c>
      <c r="H33" s="1">
        <v>22925</v>
      </c>
      <c r="I33" s="5">
        <v>49458</v>
      </c>
      <c r="J33" s="1">
        <v>53324</v>
      </c>
      <c r="K33" s="1">
        <v>50479</v>
      </c>
      <c r="L33" s="1">
        <v>18692</v>
      </c>
    </row>
    <row r="34" s="1" customFormat="1" spans="1:14">
      <c r="A34"/>
      <c r="B34" s="1">
        <v>13599</v>
      </c>
      <c r="C34" s="1">
        <v>17213</v>
      </c>
      <c r="D34" s="1">
        <v>30284</v>
      </c>
      <c r="E34" s="1">
        <v>43862</v>
      </c>
      <c r="F34" s="1">
        <v>46913</v>
      </c>
      <c r="G34" s="1">
        <v>54031</v>
      </c>
      <c r="H34" s="1">
        <v>23237</v>
      </c>
      <c r="I34" s="5">
        <v>50017</v>
      </c>
      <c r="J34" s="1">
        <v>53887</v>
      </c>
      <c r="K34" s="1">
        <v>50948</v>
      </c>
      <c r="L34" s="1">
        <v>18931</v>
      </c>
    </row>
    <row r="35" s="1" customFormat="1" spans="1:14">
      <c r="A35"/>
      <c r="B35" s="1">
        <v>12705</v>
      </c>
      <c r="C35" s="1">
        <v>16153</v>
      </c>
      <c r="D35" s="1">
        <v>28720</v>
      </c>
      <c r="E35" s="1">
        <v>41878</v>
      </c>
      <c r="F35" s="1">
        <v>44512</v>
      </c>
      <c r="G35" s="1">
        <v>51339</v>
      </c>
      <c r="H35" s="1">
        <v>21854</v>
      </c>
      <c r="I35" s="5">
        <v>47582</v>
      </c>
      <c r="J35" s="1">
        <v>51289</v>
      </c>
      <c r="K35" s="1">
        <v>48666</v>
      </c>
      <c r="L35" s="1">
        <v>17801</v>
      </c>
    </row>
    <row r="36" s="1" customFormat="1" spans="1:14">
      <c r="A36"/>
      <c r="B36" s="1">
        <v>12442</v>
      </c>
      <c r="C36" s="1">
        <v>15813</v>
      </c>
      <c r="D36" s="1">
        <v>28050</v>
      </c>
      <c r="E36" s="1">
        <v>41053</v>
      </c>
      <c r="F36" s="1">
        <v>43781</v>
      </c>
      <c r="G36" s="1">
        <v>50580</v>
      </c>
      <c r="H36" s="1">
        <v>21452</v>
      </c>
      <c r="I36" s="5">
        <v>46944</v>
      </c>
      <c r="J36" s="1">
        <v>50635</v>
      </c>
      <c r="K36" s="1">
        <v>47944</v>
      </c>
      <c r="L36" s="1">
        <v>17454</v>
      </c>
    </row>
    <row r="37" s="1" customFormat="1" spans="1:14">
      <c r="A37"/>
      <c r="B37" s="1">
        <v>12082</v>
      </c>
      <c r="C37" s="1">
        <v>15387</v>
      </c>
      <c r="D37" s="1">
        <v>27417</v>
      </c>
      <c r="E37" s="1">
        <v>40243</v>
      </c>
      <c r="F37" s="1">
        <v>42861</v>
      </c>
      <c r="G37" s="1">
        <v>49587</v>
      </c>
      <c r="H37" s="1">
        <v>20892</v>
      </c>
      <c r="I37" s="5">
        <v>46065</v>
      </c>
      <c r="J37" s="1">
        <v>49655</v>
      </c>
      <c r="K37" s="1">
        <v>47124</v>
      </c>
      <c r="L37" s="1">
        <v>17037</v>
      </c>
    </row>
    <row r="38" s="1" customFormat="1" spans="1:14">
      <c r="A38"/>
      <c r="B38" s="1">
        <v>12665</v>
      </c>
      <c r="C38" s="1">
        <v>16112</v>
      </c>
      <c r="D38" s="1">
        <v>28254</v>
      </c>
      <c r="E38" s="1">
        <v>41627</v>
      </c>
      <c r="F38" s="1">
        <v>44433</v>
      </c>
      <c r="G38" s="1">
        <v>51001</v>
      </c>
      <c r="H38" s="1">
        <v>21802</v>
      </c>
      <c r="I38" s="5">
        <v>47374</v>
      </c>
      <c r="J38" s="1">
        <v>51393</v>
      </c>
      <c r="K38" s="1">
        <v>48485</v>
      </c>
      <c r="L38" s="1">
        <v>17739</v>
      </c>
    </row>
    <row r="39" s="1" customFormat="1" spans="1:14">
      <c r="A39"/>
      <c r="B39" s="1">
        <v>13212</v>
      </c>
      <c r="C39" s="1">
        <v>16832</v>
      </c>
      <c r="D39" s="1">
        <v>29922</v>
      </c>
      <c r="E39" s="1">
        <v>43171</v>
      </c>
      <c r="F39" s="1">
        <v>45990</v>
      </c>
      <c r="G39" s="1">
        <v>53258</v>
      </c>
      <c r="H39" s="1">
        <v>22612</v>
      </c>
      <c r="I39" s="5">
        <v>49333</v>
      </c>
      <c r="J39" s="1">
        <v>52919</v>
      </c>
      <c r="K39" s="1">
        <v>49941</v>
      </c>
      <c r="L39" s="1">
        <v>18438</v>
      </c>
    </row>
    <row r="40" s="4" customFormat="1" spans="1:14">
      <c r="A40" s="19"/>
      <c r="N40" s="4">
        <f>AVERAGEA(I22:I39)</f>
        <v>47788.2222222222</v>
      </c>
    </row>
    <row r="42" s="1" customFormat="1" spans="1:14">
      <c r="A42" s="17" t="s">
        <v>13</v>
      </c>
      <c r="B42" s="1">
        <v>12636</v>
      </c>
      <c r="C42" s="1">
        <v>16030</v>
      </c>
      <c r="D42" s="1">
        <v>28407</v>
      </c>
      <c r="E42" s="1">
        <v>41779</v>
      </c>
      <c r="F42" s="1">
        <v>44211</v>
      </c>
      <c r="G42" s="1">
        <v>50247</v>
      </c>
      <c r="H42" s="1">
        <v>21613</v>
      </c>
      <c r="I42" s="5">
        <v>46467</v>
      </c>
      <c r="J42" s="1">
        <v>50689</v>
      </c>
      <c r="K42" s="1">
        <v>49363</v>
      </c>
      <c r="L42" s="1">
        <v>17855</v>
      </c>
    </row>
    <row r="43" s="1" customFormat="1" spans="1:14">
      <c r="A43"/>
      <c r="B43" s="1">
        <v>12672</v>
      </c>
      <c r="C43" s="1">
        <v>16243</v>
      </c>
      <c r="D43" s="1">
        <v>29494</v>
      </c>
      <c r="E43" s="1">
        <v>42821</v>
      </c>
      <c r="F43" s="1">
        <v>44615</v>
      </c>
      <c r="G43" s="1">
        <v>50644</v>
      </c>
      <c r="H43" s="1">
        <v>21603</v>
      </c>
      <c r="I43" s="5">
        <v>46576</v>
      </c>
      <c r="J43" s="1">
        <v>50491</v>
      </c>
      <c r="K43" s="1">
        <v>49527</v>
      </c>
      <c r="L43" s="1">
        <v>17899</v>
      </c>
    </row>
    <row r="44" s="1" customFormat="1" spans="1:14">
      <c r="A44"/>
      <c r="B44" s="1">
        <v>12880</v>
      </c>
      <c r="C44" s="1">
        <v>16387</v>
      </c>
      <c r="D44" s="1">
        <v>29263</v>
      </c>
      <c r="E44" s="1">
        <v>42650</v>
      </c>
      <c r="F44" s="1">
        <v>44934</v>
      </c>
      <c r="G44" s="1">
        <v>51162</v>
      </c>
      <c r="H44" s="1">
        <v>21947</v>
      </c>
      <c r="I44" s="5">
        <v>47251</v>
      </c>
      <c r="J44" s="1">
        <v>51379</v>
      </c>
      <c r="K44" s="1">
        <v>50119</v>
      </c>
      <c r="L44" s="1">
        <v>18190</v>
      </c>
    </row>
    <row r="45" s="1" customFormat="1" spans="1:14">
      <c r="A45"/>
      <c r="B45" s="1">
        <v>12126</v>
      </c>
      <c r="C45" s="1">
        <v>15490</v>
      </c>
      <c r="D45" s="1">
        <v>28142</v>
      </c>
      <c r="E45" s="1">
        <v>41207</v>
      </c>
      <c r="F45" s="1">
        <v>42960</v>
      </c>
      <c r="G45" s="1">
        <v>49047</v>
      </c>
      <c r="H45" s="1">
        <v>20813</v>
      </c>
      <c r="I45" s="5">
        <v>45292</v>
      </c>
      <c r="J45" s="1">
        <v>49046</v>
      </c>
      <c r="K45" s="1">
        <v>47752</v>
      </c>
      <c r="L45" s="1">
        <v>17153</v>
      </c>
    </row>
    <row r="46" s="1" customFormat="1" spans="1:14">
      <c r="A46"/>
      <c r="B46" s="1">
        <v>12098</v>
      </c>
      <c r="C46" s="1">
        <v>15503</v>
      </c>
      <c r="D46" s="1">
        <v>28142</v>
      </c>
      <c r="E46" s="1">
        <v>41205</v>
      </c>
      <c r="F46" s="1">
        <v>42924</v>
      </c>
      <c r="G46" s="1">
        <v>48952</v>
      </c>
      <c r="H46" s="1">
        <v>20734</v>
      </c>
      <c r="I46" s="5">
        <v>45215</v>
      </c>
      <c r="J46" s="1">
        <v>49028</v>
      </c>
      <c r="K46" s="1">
        <v>47833</v>
      </c>
      <c r="L46" s="1">
        <v>17157</v>
      </c>
    </row>
    <row r="47" s="1" customFormat="1" spans="1:14">
      <c r="A47"/>
      <c r="B47" s="1">
        <v>12967</v>
      </c>
      <c r="C47" s="1">
        <v>16634</v>
      </c>
      <c r="D47" s="1">
        <v>29882</v>
      </c>
      <c r="E47" s="1">
        <v>43411</v>
      </c>
      <c r="F47" s="1">
        <v>45298</v>
      </c>
      <c r="G47" s="1">
        <v>51678</v>
      </c>
      <c r="H47" s="1">
        <v>22074</v>
      </c>
      <c r="I47" s="5">
        <v>47752</v>
      </c>
      <c r="J47" s="1">
        <v>51779</v>
      </c>
      <c r="K47" s="1">
        <v>49818</v>
      </c>
      <c r="L47" s="1">
        <v>18214</v>
      </c>
    </row>
    <row r="48" s="1" customFormat="1" spans="1:14">
      <c r="A48"/>
      <c r="B48" s="1">
        <v>12454</v>
      </c>
      <c r="C48" s="1">
        <v>15937</v>
      </c>
      <c r="D48" s="1">
        <v>28690</v>
      </c>
      <c r="E48" s="1">
        <v>41585</v>
      </c>
      <c r="F48" s="1">
        <v>43923</v>
      </c>
      <c r="G48" s="1">
        <v>50615</v>
      </c>
      <c r="H48" s="1">
        <v>21333</v>
      </c>
      <c r="I48" s="5">
        <v>46797</v>
      </c>
      <c r="J48" s="1">
        <v>50400</v>
      </c>
      <c r="K48" s="1">
        <v>48553</v>
      </c>
      <c r="L48" s="1">
        <v>17586</v>
      </c>
    </row>
    <row r="49" s="1" customFormat="1" spans="1:14">
      <c r="A49"/>
      <c r="B49" s="1">
        <v>12850</v>
      </c>
      <c r="C49" s="1">
        <v>16278</v>
      </c>
      <c r="D49" s="1">
        <v>28770</v>
      </c>
      <c r="E49" s="1">
        <v>42183</v>
      </c>
      <c r="F49" s="1">
        <v>44750</v>
      </c>
      <c r="G49" s="1">
        <v>51116</v>
      </c>
      <c r="H49" s="1">
        <v>21964</v>
      </c>
      <c r="I49" s="5">
        <v>47347</v>
      </c>
      <c r="J49" s="1">
        <v>51508</v>
      </c>
      <c r="K49" s="1">
        <v>49732</v>
      </c>
      <c r="L49" s="1">
        <v>18114</v>
      </c>
    </row>
    <row r="50" s="1" customFormat="1" spans="1:14">
      <c r="A50"/>
      <c r="B50" s="1">
        <v>12429</v>
      </c>
      <c r="C50" s="1">
        <v>15939</v>
      </c>
      <c r="D50" s="1">
        <v>28941</v>
      </c>
      <c r="E50" s="1">
        <v>42050</v>
      </c>
      <c r="F50" s="1">
        <v>44017</v>
      </c>
      <c r="G50" s="1">
        <v>50425</v>
      </c>
      <c r="H50" s="1">
        <v>21297</v>
      </c>
      <c r="I50" s="5">
        <v>46529</v>
      </c>
      <c r="J50" s="1">
        <v>50175</v>
      </c>
      <c r="K50" s="1">
        <v>48547</v>
      </c>
      <c r="L50" s="1">
        <v>17547</v>
      </c>
    </row>
    <row r="51" s="1" customFormat="1" spans="1:14">
      <c r="A51"/>
      <c r="B51" s="1">
        <v>11986</v>
      </c>
      <c r="C51" s="1">
        <v>15265</v>
      </c>
      <c r="D51" s="1">
        <v>27270</v>
      </c>
      <c r="E51" s="1">
        <v>40274</v>
      </c>
      <c r="F51" s="1">
        <v>42531</v>
      </c>
      <c r="G51" s="1">
        <v>48727</v>
      </c>
      <c r="H51" s="1">
        <v>20657</v>
      </c>
      <c r="I51" s="5">
        <v>45145</v>
      </c>
      <c r="J51" s="1">
        <v>48985</v>
      </c>
      <c r="K51" s="1">
        <v>47173</v>
      </c>
      <c r="L51" s="1">
        <v>16952</v>
      </c>
    </row>
    <row r="52" s="1" customFormat="1" spans="1:14">
      <c r="A52"/>
      <c r="B52" s="1">
        <v>12567</v>
      </c>
      <c r="C52" s="1">
        <v>15989</v>
      </c>
      <c r="D52" s="1">
        <v>28809</v>
      </c>
      <c r="E52" s="1">
        <v>41752</v>
      </c>
      <c r="F52" s="1">
        <v>44025</v>
      </c>
      <c r="G52" s="1">
        <v>50729</v>
      </c>
      <c r="H52" s="1">
        <v>21506</v>
      </c>
      <c r="I52" s="5">
        <v>46926</v>
      </c>
      <c r="J52" s="1">
        <v>50571</v>
      </c>
      <c r="K52" s="1">
        <v>49015</v>
      </c>
      <c r="L52" s="1">
        <v>17756</v>
      </c>
    </row>
    <row r="53" s="1" customFormat="1" spans="1:14">
      <c r="A53"/>
      <c r="B53" s="1">
        <v>12937</v>
      </c>
      <c r="C53" s="1">
        <v>16451</v>
      </c>
      <c r="D53" s="1">
        <v>29349</v>
      </c>
      <c r="E53" s="1">
        <v>42715</v>
      </c>
      <c r="F53" s="1">
        <v>45085</v>
      </c>
      <c r="G53" s="1">
        <v>51516</v>
      </c>
      <c r="H53" s="1">
        <v>22045</v>
      </c>
      <c r="I53" s="5">
        <v>47590</v>
      </c>
      <c r="J53" s="1">
        <v>51608</v>
      </c>
      <c r="K53" s="1">
        <v>50081</v>
      </c>
      <c r="L53" s="1">
        <v>18237</v>
      </c>
    </row>
    <row r="54" s="1" customFormat="1" spans="1:14">
      <c r="A54"/>
      <c r="B54" s="1">
        <v>12150</v>
      </c>
      <c r="C54" s="1">
        <v>15569</v>
      </c>
      <c r="D54" s="1">
        <v>28113</v>
      </c>
      <c r="E54" s="1">
        <v>41015</v>
      </c>
      <c r="F54" s="1">
        <v>43105</v>
      </c>
      <c r="G54" s="1">
        <v>49511</v>
      </c>
      <c r="H54" s="1">
        <v>20861</v>
      </c>
      <c r="I54" s="5">
        <v>45792</v>
      </c>
      <c r="J54" s="1">
        <v>49410</v>
      </c>
      <c r="K54" s="1">
        <v>47763</v>
      </c>
      <c r="L54" s="1">
        <v>17191</v>
      </c>
    </row>
    <row r="55" s="1" customFormat="1" spans="1:14">
      <c r="A55"/>
      <c r="B55" s="1">
        <v>12682</v>
      </c>
      <c r="C55" s="1">
        <v>16199</v>
      </c>
      <c r="D55" s="1">
        <v>29181</v>
      </c>
      <c r="E55" s="1">
        <v>42567</v>
      </c>
      <c r="F55" s="1">
        <v>44365</v>
      </c>
      <c r="G55" s="1">
        <v>50531</v>
      </c>
      <c r="H55" s="1">
        <v>21641</v>
      </c>
      <c r="I55" s="5">
        <v>46677</v>
      </c>
      <c r="J55" s="1">
        <v>50615</v>
      </c>
      <c r="K55" s="1">
        <v>49220</v>
      </c>
      <c r="L55" s="1">
        <v>17889</v>
      </c>
    </row>
    <row r="56" s="1" customFormat="1" spans="1:14">
      <c r="A56"/>
      <c r="B56" s="1">
        <v>12245</v>
      </c>
      <c r="C56" s="1">
        <v>15736</v>
      </c>
      <c r="D56" s="1">
        <v>28429</v>
      </c>
      <c r="E56" s="1">
        <v>41496</v>
      </c>
      <c r="F56" s="1">
        <v>43342</v>
      </c>
      <c r="G56" s="1">
        <v>49750</v>
      </c>
      <c r="H56" s="1">
        <v>20990</v>
      </c>
      <c r="I56" s="5">
        <v>46055</v>
      </c>
      <c r="J56" s="1">
        <v>49738</v>
      </c>
      <c r="K56" s="1">
        <v>47838</v>
      </c>
      <c r="L56" s="1">
        <v>17284</v>
      </c>
    </row>
    <row r="57" s="1" customFormat="1" spans="1:14">
      <c r="A57"/>
      <c r="B57" s="1">
        <v>12017</v>
      </c>
      <c r="C57" s="1">
        <v>15403</v>
      </c>
      <c r="D57" s="1">
        <v>27707</v>
      </c>
      <c r="E57" s="1">
        <v>40598</v>
      </c>
      <c r="F57" s="1">
        <v>42806</v>
      </c>
      <c r="G57" s="1">
        <v>49261</v>
      </c>
      <c r="H57" s="1">
        <v>20713</v>
      </c>
      <c r="I57" s="5">
        <v>45640</v>
      </c>
      <c r="J57" s="1">
        <v>49336</v>
      </c>
      <c r="K57" s="1">
        <v>47421</v>
      </c>
      <c r="L57" s="1">
        <v>17013</v>
      </c>
    </row>
    <row r="58" s="1" customFormat="1" spans="1:14">
      <c r="A58"/>
      <c r="B58" s="1">
        <v>12883</v>
      </c>
      <c r="C58" s="1">
        <v>16432</v>
      </c>
      <c r="D58" s="1">
        <v>29559</v>
      </c>
      <c r="E58" s="1">
        <v>42900</v>
      </c>
      <c r="F58" s="1">
        <v>44931</v>
      </c>
      <c r="G58" s="1">
        <v>51525</v>
      </c>
      <c r="H58" s="1">
        <v>21993</v>
      </c>
      <c r="I58" s="5">
        <v>47637</v>
      </c>
      <c r="J58" s="1">
        <v>51441</v>
      </c>
      <c r="K58" s="1">
        <v>49519</v>
      </c>
      <c r="L58" s="1">
        <v>18089</v>
      </c>
    </row>
    <row r="59" s="1" customFormat="1" spans="1:14">
      <c r="A59"/>
      <c r="B59" s="1">
        <v>12567</v>
      </c>
      <c r="C59" s="1">
        <v>16096</v>
      </c>
      <c r="D59" s="1">
        <v>28893</v>
      </c>
      <c r="E59" s="1">
        <v>42088</v>
      </c>
      <c r="F59" s="1">
        <v>44227</v>
      </c>
      <c r="G59" s="1">
        <v>50768</v>
      </c>
      <c r="H59" s="1">
        <v>21520</v>
      </c>
      <c r="I59" s="5">
        <v>47002</v>
      </c>
      <c r="J59" s="1">
        <v>50831</v>
      </c>
      <c r="K59" s="1">
        <v>48788</v>
      </c>
      <c r="L59" s="1">
        <v>17707</v>
      </c>
      <c r="N59" s="1">
        <f>AVERAGE(I42:I59)</f>
        <v>46538.3333333333</v>
      </c>
    </row>
    <row r="60" s="4" customFormat="1" spans="1:14">
      <c r="A60" s="18"/>
    </row>
    <row r="63" s="1" customFormat="1" spans="1:14">
      <c r="A63" s="17" t="s">
        <v>14</v>
      </c>
      <c r="B63" s="1">
        <v>12672</v>
      </c>
      <c r="C63" s="1">
        <v>16159</v>
      </c>
      <c r="D63" s="1">
        <v>29583</v>
      </c>
      <c r="E63" s="1">
        <v>42692</v>
      </c>
      <c r="F63" s="1">
        <v>44039</v>
      </c>
      <c r="G63" s="1">
        <v>50261</v>
      </c>
      <c r="H63" s="1">
        <v>21512</v>
      </c>
      <c r="I63" s="5">
        <v>46335</v>
      </c>
      <c r="J63" s="1">
        <v>50162</v>
      </c>
      <c r="K63" s="1">
        <v>49480</v>
      </c>
      <c r="L63" s="1">
        <v>17915</v>
      </c>
    </row>
    <row r="64" s="1" customFormat="1" spans="1:14">
      <c r="A64"/>
      <c r="B64" s="1">
        <v>12119</v>
      </c>
      <c r="C64" s="1">
        <v>15468</v>
      </c>
      <c r="D64" s="1">
        <v>28087</v>
      </c>
      <c r="E64" s="1">
        <v>41086</v>
      </c>
      <c r="F64" s="1">
        <v>42733</v>
      </c>
      <c r="G64" s="1">
        <v>48766</v>
      </c>
      <c r="H64" s="1">
        <v>20724</v>
      </c>
      <c r="I64" s="5">
        <v>45068</v>
      </c>
      <c r="J64" s="1">
        <v>48889</v>
      </c>
      <c r="K64" s="1">
        <v>48039</v>
      </c>
      <c r="L64" s="1">
        <v>17203</v>
      </c>
    </row>
    <row r="65" s="1" customFormat="1" spans="1:14">
      <c r="A65"/>
      <c r="B65" s="1">
        <v>12294</v>
      </c>
      <c r="C65" s="1">
        <v>15778</v>
      </c>
      <c r="D65" s="1">
        <v>28720</v>
      </c>
      <c r="E65" s="1">
        <v>41681</v>
      </c>
      <c r="F65" s="1">
        <v>43310</v>
      </c>
      <c r="G65" s="1">
        <v>49574</v>
      </c>
      <c r="H65" s="1">
        <v>20981</v>
      </c>
      <c r="I65" s="5">
        <v>45845</v>
      </c>
      <c r="J65" s="1">
        <v>49652</v>
      </c>
      <c r="K65" s="1">
        <v>48558</v>
      </c>
      <c r="L65" s="1">
        <v>17452</v>
      </c>
    </row>
    <row r="66" s="1" customFormat="1" spans="1:14">
      <c r="A66"/>
      <c r="B66" s="1">
        <v>11816</v>
      </c>
      <c r="C66" s="1">
        <v>15191</v>
      </c>
      <c r="D66" s="1">
        <v>27714</v>
      </c>
      <c r="E66" s="1">
        <v>40519</v>
      </c>
      <c r="F66" s="1">
        <v>42088</v>
      </c>
      <c r="G66" s="1">
        <v>48208</v>
      </c>
      <c r="H66" s="1">
        <v>20273</v>
      </c>
      <c r="I66" s="5">
        <v>44599</v>
      </c>
      <c r="J66" s="1">
        <v>48293</v>
      </c>
      <c r="K66" s="1">
        <v>47104</v>
      </c>
      <c r="L66" s="1">
        <v>16795</v>
      </c>
    </row>
    <row r="67" s="1" customFormat="1" spans="1:14">
      <c r="A67"/>
      <c r="B67" s="1">
        <v>12261</v>
      </c>
      <c r="C67" s="1">
        <v>15749</v>
      </c>
      <c r="D67" s="1">
        <v>28842</v>
      </c>
      <c r="E67" s="1">
        <v>42001</v>
      </c>
      <c r="F67" s="1">
        <v>43185</v>
      </c>
      <c r="G67" s="1">
        <v>49160</v>
      </c>
      <c r="H67" s="1">
        <v>20892</v>
      </c>
      <c r="I67" s="5">
        <v>45373</v>
      </c>
      <c r="J67" s="1">
        <v>49173</v>
      </c>
      <c r="K67" s="1">
        <v>48247</v>
      </c>
      <c r="L67" s="1">
        <v>17368</v>
      </c>
    </row>
    <row r="68" s="1" customFormat="1" spans="1:14">
      <c r="A68"/>
      <c r="B68" s="1">
        <v>12260</v>
      </c>
      <c r="C68" s="1">
        <v>15971</v>
      </c>
      <c r="D68" s="1">
        <v>29228</v>
      </c>
      <c r="E68" s="1">
        <v>42270</v>
      </c>
      <c r="F68" s="1">
        <v>43656</v>
      </c>
      <c r="G68" s="1">
        <v>49902</v>
      </c>
      <c r="H68" s="1">
        <v>20896</v>
      </c>
      <c r="I68" s="5">
        <v>46083</v>
      </c>
      <c r="J68" s="1">
        <v>49855</v>
      </c>
      <c r="K68" s="1">
        <v>48431</v>
      </c>
      <c r="L68" s="1">
        <v>17401</v>
      </c>
    </row>
    <row r="69" s="1" customFormat="1" spans="1:14">
      <c r="A69"/>
      <c r="B69" s="1">
        <v>11912</v>
      </c>
      <c r="C69" s="1">
        <v>15119</v>
      </c>
      <c r="D69" s="1">
        <v>26700</v>
      </c>
      <c r="E69" s="1">
        <v>40229</v>
      </c>
      <c r="F69" s="1">
        <v>41956</v>
      </c>
      <c r="G69" s="1">
        <v>47425</v>
      </c>
      <c r="H69" s="1">
        <v>20489</v>
      </c>
      <c r="I69" s="5">
        <v>44059</v>
      </c>
      <c r="J69" s="1">
        <v>48464</v>
      </c>
      <c r="K69" s="1">
        <v>47050</v>
      </c>
      <c r="L69" s="1">
        <v>16894</v>
      </c>
    </row>
    <row r="70" s="1" customFormat="1" spans="1:14">
      <c r="A70"/>
      <c r="B70" s="1">
        <v>11501</v>
      </c>
      <c r="C70" s="1">
        <v>14886</v>
      </c>
      <c r="D70" s="1">
        <v>27107</v>
      </c>
      <c r="E70" s="1">
        <v>39937</v>
      </c>
      <c r="F70" s="1">
        <v>41375</v>
      </c>
      <c r="G70" s="1">
        <v>47284</v>
      </c>
      <c r="H70" s="1">
        <v>19764</v>
      </c>
      <c r="I70" s="5">
        <v>43788</v>
      </c>
      <c r="J70" s="1">
        <v>47488</v>
      </c>
      <c r="K70" s="1">
        <v>46305</v>
      </c>
      <c r="L70" s="1">
        <v>16447</v>
      </c>
    </row>
    <row r="71" s="1" customFormat="1" spans="1:14">
      <c r="A71"/>
      <c r="B71" s="1">
        <v>11602</v>
      </c>
      <c r="C71" s="1">
        <v>14919</v>
      </c>
      <c r="D71" s="1">
        <v>27135</v>
      </c>
      <c r="E71" s="1">
        <v>39858</v>
      </c>
      <c r="F71" s="1">
        <v>41615</v>
      </c>
      <c r="G71" s="1">
        <v>47875</v>
      </c>
      <c r="H71" s="1">
        <v>20011</v>
      </c>
      <c r="I71" s="5">
        <v>44391</v>
      </c>
      <c r="J71" s="1">
        <v>47914</v>
      </c>
      <c r="K71" s="1">
        <v>46406</v>
      </c>
      <c r="L71" s="1">
        <v>16528</v>
      </c>
    </row>
    <row r="72" s="1" customFormat="1" spans="1:14">
      <c r="A72"/>
      <c r="B72" s="1">
        <v>11695</v>
      </c>
      <c r="C72" s="1">
        <v>15142</v>
      </c>
      <c r="D72" s="1">
        <v>27910</v>
      </c>
      <c r="E72" s="1">
        <v>40821</v>
      </c>
      <c r="F72" s="1">
        <v>41953</v>
      </c>
      <c r="G72" s="1">
        <v>48126</v>
      </c>
      <c r="H72" s="1">
        <v>20120</v>
      </c>
      <c r="I72" s="5">
        <v>44532</v>
      </c>
      <c r="J72" s="1">
        <v>48093</v>
      </c>
      <c r="K72" s="1">
        <v>46417</v>
      </c>
      <c r="L72" s="1">
        <v>16590</v>
      </c>
    </row>
    <row r="73" s="1" customFormat="1" spans="1:14">
      <c r="A73"/>
      <c r="B73" s="1">
        <v>12567</v>
      </c>
      <c r="C73" s="1">
        <v>15987</v>
      </c>
      <c r="D73" s="1">
        <v>28635</v>
      </c>
      <c r="E73" s="1">
        <v>41884</v>
      </c>
      <c r="F73" s="1">
        <v>43946</v>
      </c>
      <c r="G73" s="1">
        <v>50410</v>
      </c>
      <c r="H73" s="1">
        <v>21509</v>
      </c>
      <c r="I73" s="5">
        <v>46727</v>
      </c>
      <c r="J73" s="1">
        <v>50564</v>
      </c>
      <c r="K73" s="1">
        <v>48778</v>
      </c>
      <c r="L73" s="1">
        <v>17708</v>
      </c>
    </row>
    <row r="74" s="1" customFormat="1" spans="1:14">
      <c r="A74"/>
      <c r="B74" s="1">
        <v>12330</v>
      </c>
      <c r="C74" s="1">
        <v>15842</v>
      </c>
      <c r="D74" s="1">
        <v>28806</v>
      </c>
      <c r="E74" s="1">
        <v>41928</v>
      </c>
      <c r="F74" s="1">
        <v>43503</v>
      </c>
      <c r="G74" s="1">
        <v>49758</v>
      </c>
      <c r="H74" s="1">
        <v>21038</v>
      </c>
      <c r="I74" s="5">
        <v>46006</v>
      </c>
      <c r="J74" s="1">
        <v>49788</v>
      </c>
      <c r="K74" s="1">
        <v>48587</v>
      </c>
      <c r="L74" s="1">
        <v>17488</v>
      </c>
    </row>
    <row r="75" s="1" customFormat="1" spans="1:14">
      <c r="A75"/>
      <c r="B75" s="1">
        <v>12054</v>
      </c>
      <c r="C75" s="1">
        <v>15030</v>
      </c>
      <c r="D75" s="1">
        <v>27262</v>
      </c>
      <c r="E75" s="1">
        <v>40300</v>
      </c>
      <c r="F75" s="1">
        <v>41829</v>
      </c>
      <c r="G75" s="1">
        <v>47604</v>
      </c>
      <c r="H75" s="1">
        <v>20632</v>
      </c>
      <c r="I75" s="5">
        <v>44039</v>
      </c>
      <c r="J75" s="1">
        <v>47873</v>
      </c>
      <c r="K75" s="1">
        <v>47842</v>
      </c>
      <c r="L75" s="1">
        <v>17120</v>
      </c>
    </row>
    <row r="76" s="1" customFormat="1" spans="1:14">
      <c r="A76"/>
      <c r="B76" s="1">
        <v>12055</v>
      </c>
      <c r="C76" s="1">
        <v>15448</v>
      </c>
      <c r="D76" s="1">
        <v>27865</v>
      </c>
      <c r="E76" s="1">
        <v>40883</v>
      </c>
      <c r="F76" s="1">
        <v>42943</v>
      </c>
      <c r="G76" s="1">
        <v>48896</v>
      </c>
      <c r="H76" s="1">
        <v>20676</v>
      </c>
      <c r="I76" s="5">
        <v>45118</v>
      </c>
      <c r="J76" s="1">
        <v>49017</v>
      </c>
      <c r="K76" s="1">
        <v>48092</v>
      </c>
      <c r="L76" s="1">
        <v>17165</v>
      </c>
    </row>
    <row r="77" s="1" customFormat="1" spans="1:14">
      <c r="A77"/>
      <c r="B77" s="1">
        <v>12123</v>
      </c>
      <c r="C77" s="1">
        <v>15666</v>
      </c>
      <c r="D77" s="1">
        <v>28880</v>
      </c>
      <c r="E77" s="1">
        <v>42088</v>
      </c>
      <c r="F77" s="1">
        <v>43071</v>
      </c>
      <c r="G77" s="1">
        <v>48947</v>
      </c>
      <c r="H77" s="1">
        <v>20699</v>
      </c>
      <c r="I77" s="5">
        <v>45122</v>
      </c>
      <c r="J77" s="1">
        <v>48941</v>
      </c>
      <c r="K77" s="1">
        <v>48045</v>
      </c>
      <c r="L77" s="1">
        <v>17223</v>
      </c>
    </row>
    <row r="78" s="1" customFormat="1" spans="1:14">
      <c r="A78"/>
      <c r="B78" s="1">
        <v>11570</v>
      </c>
      <c r="C78" s="1">
        <v>14873</v>
      </c>
      <c r="D78" s="1">
        <v>26979</v>
      </c>
      <c r="E78" s="1">
        <v>39796</v>
      </c>
      <c r="F78" s="1">
        <v>41495</v>
      </c>
      <c r="G78" s="1">
        <v>47428</v>
      </c>
      <c r="H78" s="1">
        <v>19910</v>
      </c>
      <c r="I78" s="5">
        <v>43932</v>
      </c>
      <c r="J78" s="1">
        <v>47720</v>
      </c>
      <c r="K78" s="1">
        <v>46618</v>
      </c>
      <c r="L78" s="1">
        <v>16537</v>
      </c>
    </row>
    <row r="79" s="1" customFormat="1" spans="1:14">
      <c r="A79"/>
      <c r="B79" s="1">
        <v>11896</v>
      </c>
      <c r="C79" s="1">
        <v>15324</v>
      </c>
      <c r="D79" s="1">
        <v>27534</v>
      </c>
      <c r="E79" s="1">
        <v>40683</v>
      </c>
      <c r="F79" s="1">
        <v>42318</v>
      </c>
      <c r="G79" s="1">
        <v>48492</v>
      </c>
      <c r="H79" s="1">
        <v>20449</v>
      </c>
      <c r="I79" s="5">
        <v>45046</v>
      </c>
      <c r="J79" s="1">
        <v>48905</v>
      </c>
      <c r="K79" s="1">
        <v>46871</v>
      </c>
      <c r="L79" s="1">
        <v>16861</v>
      </c>
    </row>
    <row r="80" s="1" customFormat="1" spans="1:14">
      <c r="A80"/>
      <c r="B80" s="1">
        <v>11723</v>
      </c>
      <c r="C80" s="1">
        <v>15070</v>
      </c>
      <c r="D80" s="1">
        <v>27401</v>
      </c>
      <c r="E80" s="1">
        <v>40408</v>
      </c>
      <c r="F80" s="1">
        <v>41873</v>
      </c>
      <c r="G80" s="1">
        <v>47802</v>
      </c>
      <c r="H80" s="1">
        <v>20136</v>
      </c>
      <c r="I80" s="5">
        <v>44252</v>
      </c>
      <c r="J80" s="1">
        <v>48003</v>
      </c>
      <c r="K80" s="1">
        <v>46788</v>
      </c>
      <c r="L80" s="1">
        <v>16697</v>
      </c>
      <c r="N80" s="1">
        <f>AVERAGE(I63:I80)</f>
        <v>45017.5</v>
      </c>
    </row>
    <row r="81" s="4" customFormat="1" spans="1:12">
      <c r="A81" s="18"/>
    </row>
    <row r="83" spans="1:12">
      <c r="A83" s="17" t="s">
        <v>15</v>
      </c>
    </row>
    <row r="84" s="1" customFormat="1" spans="1:12">
      <c r="A84"/>
      <c r="B84" s="1">
        <v>12447</v>
      </c>
      <c r="C84" s="1">
        <v>16088</v>
      </c>
      <c r="D84" s="1">
        <v>29550</v>
      </c>
      <c r="E84" s="1">
        <v>43050</v>
      </c>
      <c r="F84" s="1">
        <v>43963</v>
      </c>
      <c r="G84" s="1">
        <v>49305</v>
      </c>
      <c r="H84" s="1">
        <v>21107</v>
      </c>
      <c r="I84" s="5">
        <v>45221</v>
      </c>
      <c r="J84" s="1">
        <v>49460</v>
      </c>
      <c r="K84" s="1">
        <v>49322</v>
      </c>
      <c r="L84" s="1">
        <v>17685</v>
      </c>
    </row>
    <row r="85" s="1" customFormat="1" spans="1:12">
      <c r="A85"/>
      <c r="B85" s="1">
        <v>11993</v>
      </c>
      <c r="C85" s="1">
        <v>15284</v>
      </c>
      <c r="D85" s="1">
        <v>28264</v>
      </c>
      <c r="E85" s="1">
        <v>41080</v>
      </c>
      <c r="F85" s="1">
        <v>42326</v>
      </c>
      <c r="G85" s="1">
        <v>47974</v>
      </c>
      <c r="H85" s="1">
        <v>20409</v>
      </c>
      <c r="I85" s="5">
        <v>44061</v>
      </c>
      <c r="J85" s="1">
        <v>47900</v>
      </c>
      <c r="K85" s="1">
        <v>48427</v>
      </c>
      <c r="L85" s="1">
        <v>17173</v>
      </c>
    </row>
    <row r="86" s="1" customFormat="1" spans="1:12">
      <c r="A86"/>
      <c r="B86" s="1">
        <v>11589</v>
      </c>
      <c r="C86" s="1">
        <v>15002</v>
      </c>
      <c r="D86" s="1">
        <v>27633</v>
      </c>
      <c r="E86" s="1">
        <v>40448</v>
      </c>
      <c r="F86" s="1">
        <v>41680</v>
      </c>
      <c r="G86" s="1">
        <v>47309</v>
      </c>
      <c r="H86" s="1">
        <v>19828</v>
      </c>
      <c r="I86" s="5">
        <v>43600</v>
      </c>
      <c r="J86" s="1">
        <v>47428</v>
      </c>
      <c r="K86" s="1">
        <v>47207</v>
      </c>
      <c r="L86" s="1">
        <v>16638</v>
      </c>
    </row>
    <row r="87" s="1" customFormat="1" spans="1:12">
      <c r="A87"/>
      <c r="B87" s="1">
        <v>11655</v>
      </c>
      <c r="C87" s="1">
        <v>15061</v>
      </c>
      <c r="D87" s="1">
        <v>27784</v>
      </c>
      <c r="E87" s="1">
        <v>40688</v>
      </c>
      <c r="F87" s="1">
        <v>41776</v>
      </c>
      <c r="G87" s="1">
        <v>47346</v>
      </c>
      <c r="H87" s="1">
        <v>19922</v>
      </c>
      <c r="I87" s="5">
        <v>43607</v>
      </c>
      <c r="J87" s="1">
        <v>47511</v>
      </c>
      <c r="K87" s="1">
        <v>47428</v>
      </c>
      <c r="L87" s="1">
        <v>16730</v>
      </c>
    </row>
    <row r="88" s="1" customFormat="1" spans="1:12">
      <c r="A88"/>
      <c r="B88" s="1">
        <v>12800</v>
      </c>
      <c r="C88" s="1">
        <v>16328</v>
      </c>
      <c r="D88" s="1">
        <v>29768</v>
      </c>
      <c r="E88" s="1">
        <v>43386</v>
      </c>
      <c r="F88" s="1">
        <v>44619</v>
      </c>
      <c r="G88" s="1">
        <v>49987</v>
      </c>
      <c r="H88" s="1">
        <v>21619</v>
      </c>
      <c r="I88" s="5">
        <v>45829</v>
      </c>
      <c r="J88" s="1">
        <v>50141</v>
      </c>
      <c r="K88" s="1">
        <v>50597</v>
      </c>
      <c r="L88" s="1">
        <v>18196</v>
      </c>
    </row>
    <row r="89" s="1" customFormat="1" spans="1:12">
      <c r="A89"/>
      <c r="B89" s="1">
        <v>11938</v>
      </c>
      <c r="C89" s="1">
        <v>15337</v>
      </c>
      <c r="D89" s="1">
        <v>28212</v>
      </c>
      <c r="E89" s="1">
        <v>41290</v>
      </c>
      <c r="F89" s="1">
        <v>42391</v>
      </c>
      <c r="G89" s="1">
        <v>47982</v>
      </c>
      <c r="H89" s="1">
        <v>20370</v>
      </c>
      <c r="I89" s="5">
        <v>44182</v>
      </c>
      <c r="J89" s="1">
        <v>48168</v>
      </c>
      <c r="K89" s="1">
        <v>47953</v>
      </c>
      <c r="L89" s="1">
        <v>17048</v>
      </c>
    </row>
    <row r="90" s="1" customFormat="1" spans="1:12">
      <c r="A90"/>
      <c r="B90" s="1">
        <v>12307</v>
      </c>
      <c r="C90" s="1">
        <v>15746</v>
      </c>
      <c r="D90" s="1">
        <v>28783</v>
      </c>
      <c r="E90" s="1">
        <v>41874</v>
      </c>
      <c r="F90" s="1">
        <v>43153</v>
      </c>
      <c r="G90" s="1">
        <v>49002</v>
      </c>
      <c r="H90" s="1">
        <v>20903</v>
      </c>
      <c r="I90" s="5">
        <v>45163</v>
      </c>
      <c r="J90" s="1">
        <v>49126</v>
      </c>
      <c r="K90" s="1">
        <v>48930</v>
      </c>
      <c r="L90" s="1">
        <v>17531</v>
      </c>
    </row>
    <row r="91" s="1" customFormat="1" spans="1:12">
      <c r="A91"/>
      <c r="B91" s="1">
        <v>11328</v>
      </c>
      <c r="C91" s="1">
        <v>14678</v>
      </c>
      <c r="D91" s="1">
        <v>27042</v>
      </c>
      <c r="E91" s="1">
        <v>39651</v>
      </c>
      <c r="F91" s="1">
        <v>40983</v>
      </c>
      <c r="G91" s="1">
        <v>46967</v>
      </c>
      <c r="H91" s="1">
        <v>19522</v>
      </c>
      <c r="I91" s="5">
        <v>43434</v>
      </c>
      <c r="J91" s="1">
        <v>47026</v>
      </c>
      <c r="K91" s="1">
        <v>46067</v>
      </c>
      <c r="L91" s="1">
        <v>16239</v>
      </c>
    </row>
    <row r="92" s="1" customFormat="1" spans="1:12">
      <c r="A92"/>
      <c r="B92" s="1">
        <v>12225</v>
      </c>
      <c r="C92" s="1">
        <v>15772</v>
      </c>
      <c r="D92" s="1">
        <v>28854</v>
      </c>
      <c r="E92" s="1">
        <v>42193</v>
      </c>
      <c r="F92" s="1">
        <v>43347</v>
      </c>
      <c r="G92" s="1">
        <v>48951</v>
      </c>
      <c r="H92" s="1">
        <v>20820</v>
      </c>
      <c r="I92" s="5">
        <v>45042</v>
      </c>
      <c r="J92" s="1">
        <v>49099</v>
      </c>
      <c r="K92" s="1">
        <v>48624</v>
      </c>
      <c r="L92" s="1">
        <v>17398</v>
      </c>
    </row>
    <row r="93" s="1" customFormat="1" spans="1:12">
      <c r="A93"/>
      <c r="B93" s="1">
        <v>11597</v>
      </c>
      <c r="C93" s="1">
        <v>14959</v>
      </c>
      <c r="D93" s="1">
        <v>26981</v>
      </c>
      <c r="E93" s="1">
        <v>40106</v>
      </c>
      <c r="F93" s="1">
        <v>41552</v>
      </c>
      <c r="G93" s="1">
        <v>47113</v>
      </c>
      <c r="H93" s="1">
        <v>19907</v>
      </c>
      <c r="I93" s="5">
        <v>43622</v>
      </c>
      <c r="J93" s="1">
        <v>47706</v>
      </c>
      <c r="K93" s="1">
        <v>46755</v>
      </c>
      <c r="L93" s="1">
        <v>16572</v>
      </c>
    </row>
    <row r="94" s="1" customFormat="1" spans="1:12">
      <c r="A94"/>
      <c r="B94" s="1">
        <v>12311</v>
      </c>
      <c r="C94" s="1">
        <v>15834</v>
      </c>
      <c r="D94" s="1">
        <v>28880</v>
      </c>
      <c r="E94" s="1">
        <v>42146</v>
      </c>
      <c r="F94" s="1">
        <v>43362</v>
      </c>
      <c r="G94" s="1">
        <v>49261</v>
      </c>
      <c r="H94" s="1">
        <v>20961</v>
      </c>
      <c r="I94" s="5">
        <v>45464</v>
      </c>
      <c r="J94" s="1">
        <v>49483</v>
      </c>
      <c r="K94" s="1">
        <v>48575</v>
      </c>
      <c r="L94" s="1">
        <v>17477</v>
      </c>
    </row>
    <row r="95" s="1" customFormat="1" spans="1:12">
      <c r="A95"/>
      <c r="B95" s="1">
        <v>12018</v>
      </c>
      <c r="C95" s="1">
        <v>15514</v>
      </c>
      <c r="D95" s="1">
        <v>28371</v>
      </c>
      <c r="E95" s="1">
        <v>41392</v>
      </c>
      <c r="F95" s="1">
        <v>42710</v>
      </c>
      <c r="G95" s="1">
        <v>48671</v>
      </c>
      <c r="H95" s="1">
        <v>20522</v>
      </c>
      <c r="I95" s="5">
        <v>44955</v>
      </c>
      <c r="J95" s="1">
        <v>48813</v>
      </c>
      <c r="K95" s="1">
        <v>47970</v>
      </c>
      <c r="L95" s="1">
        <v>17129</v>
      </c>
    </row>
    <row r="96" s="1" customFormat="1" spans="1:12">
      <c r="A96"/>
      <c r="B96" s="1">
        <v>11495</v>
      </c>
      <c r="C96" s="1">
        <v>14737</v>
      </c>
      <c r="D96" s="1">
        <v>26213</v>
      </c>
      <c r="E96" s="1">
        <v>39539</v>
      </c>
      <c r="F96" s="1">
        <v>41062</v>
      </c>
      <c r="G96" s="1">
        <v>46219</v>
      </c>
      <c r="H96" s="1">
        <v>19748</v>
      </c>
      <c r="I96" s="5">
        <v>42827</v>
      </c>
      <c r="J96" s="1">
        <v>47178</v>
      </c>
      <c r="K96" s="1">
        <v>46331</v>
      </c>
      <c r="L96" s="1">
        <v>16431</v>
      </c>
    </row>
    <row r="97" s="1" customFormat="1" spans="1:14">
      <c r="A97"/>
      <c r="B97" s="1">
        <v>11163</v>
      </c>
      <c r="C97" s="1">
        <v>14407</v>
      </c>
      <c r="D97" s="1">
        <v>26427</v>
      </c>
      <c r="E97" s="1">
        <v>39011</v>
      </c>
      <c r="F97" s="1">
        <v>40401</v>
      </c>
      <c r="G97" s="1">
        <v>46257</v>
      </c>
      <c r="H97" s="1">
        <v>19274</v>
      </c>
      <c r="I97" s="5">
        <v>42819</v>
      </c>
      <c r="J97" s="1">
        <v>46417</v>
      </c>
      <c r="K97" s="1">
        <v>45517</v>
      </c>
      <c r="L97" s="1">
        <v>16010</v>
      </c>
    </row>
    <row r="98" s="1" customFormat="1" spans="1:14">
      <c r="A98"/>
      <c r="B98" s="1">
        <v>11801</v>
      </c>
      <c r="C98" s="1">
        <v>15257</v>
      </c>
      <c r="D98" s="1">
        <v>28155</v>
      </c>
      <c r="E98" s="1">
        <v>40848</v>
      </c>
      <c r="F98" s="1">
        <v>42122</v>
      </c>
      <c r="G98" s="1">
        <v>48290</v>
      </c>
      <c r="H98" s="1">
        <v>20192</v>
      </c>
      <c r="I98" s="5">
        <v>44588</v>
      </c>
      <c r="J98" s="1">
        <v>48114</v>
      </c>
      <c r="K98" s="1">
        <v>47157</v>
      </c>
      <c r="L98" s="1">
        <v>16809</v>
      </c>
    </row>
    <row r="99" s="1" customFormat="1" spans="1:14">
      <c r="A99"/>
      <c r="B99" s="1">
        <v>11466</v>
      </c>
      <c r="C99" s="1">
        <v>14814</v>
      </c>
      <c r="D99" s="1">
        <v>27191</v>
      </c>
      <c r="E99" s="1">
        <v>39890</v>
      </c>
      <c r="F99" s="1">
        <v>41190</v>
      </c>
      <c r="G99" s="1">
        <v>47184</v>
      </c>
      <c r="H99" s="1">
        <v>19717</v>
      </c>
      <c r="I99" s="5">
        <v>43657</v>
      </c>
      <c r="J99" s="1">
        <v>47232</v>
      </c>
      <c r="K99" s="1">
        <v>46170</v>
      </c>
      <c r="L99" s="1">
        <v>16387</v>
      </c>
    </row>
    <row r="100" s="1" customFormat="1" spans="1:14">
      <c r="A100"/>
      <c r="B100" s="1">
        <v>10943</v>
      </c>
      <c r="C100" s="1">
        <v>14125</v>
      </c>
      <c r="D100" s="1">
        <v>25786</v>
      </c>
      <c r="E100" s="1">
        <v>38249</v>
      </c>
      <c r="F100" s="1">
        <v>39747</v>
      </c>
      <c r="G100" s="1">
        <v>45522</v>
      </c>
      <c r="H100" s="1">
        <v>18918</v>
      </c>
      <c r="I100" s="5">
        <v>42162</v>
      </c>
      <c r="J100" s="1">
        <v>45724</v>
      </c>
      <c r="K100" s="1">
        <v>44668</v>
      </c>
      <c r="L100" s="1">
        <v>15691</v>
      </c>
    </row>
    <row r="101" s="1" customFormat="1" spans="1:14">
      <c r="A101"/>
      <c r="B101" s="1">
        <v>11139</v>
      </c>
      <c r="C101" s="1">
        <v>14402</v>
      </c>
      <c r="D101" s="1">
        <v>26402</v>
      </c>
      <c r="E101" s="1">
        <v>38817</v>
      </c>
      <c r="F101" s="1">
        <v>40354</v>
      </c>
      <c r="G101" s="1">
        <v>46461</v>
      </c>
      <c r="H101" s="1">
        <v>19235</v>
      </c>
      <c r="I101" s="5">
        <v>43060</v>
      </c>
      <c r="J101" s="1">
        <v>46465</v>
      </c>
      <c r="K101" s="1">
        <v>45257</v>
      </c>
      <c r="L101" s="1">
        <v>15956</v>
      </c>
      <c r="N101" s="1">
        <f>AVERAGE(I84:I101)</f>
        <v>44071.8333333333</v>
      </c>
    </row>
    <row r="102" s="4" customFormat="1" spans="1:14">
      <c r="A102" s="18"/>
    </row>
    <row r="104" spans="1:14">
      <c r="A104" s="17" t="s">
        <v>16</v>
      </c>
    </row>
    <row r="105" s="1" customFormat="1" spans="1:14">
      <c r="A105"/>
      <c r="B105" s="1">
        <v>12073</v>
      </c>
      <c r="C105" s="1">
        <v>15487</v>
      </c>
      <c r="D105" s="1">
        <v>28012</v>
      </c>
      <c r="E105" s="1">
        <v>41543</v>
      </c>
      <c r="F105" s="1">
        <v>42557</v>
      </c>
      <c r="G105" s="1">
        <v>47734</v>
      </c>
      <c r="H105" s="1">
        <v>20565</v>
      </c>
      <c r="I105" s="5">
        <v>44000</v>
      </c>
      <c r="J105" s="1">
        <v>48316</v>
      </c>
      <c r="K105" s="1">
        <v>48163</v>
      </c>
      <c r="L105" s="1">
        <v>17194</v>
      </c>
    </row>
    <row r="106" s="1" customFormat="1" spans="1:14">
      <c r="A106"/>
      <c r="B106" s="1">
        <v>11360</v>
      </c>
      <c r="C106" s="1">
        <v>14669</v>
      </c>
      <c r="D106" s="1">
        <v>26961</v>
      </c>
      <c r="E106" s="1">
        <v>39668</v>
      </c>
      <c r="F106" s="1">
        <v>40860</v>
      </c>
      <c r="G106" s="1">
        <v>46488</v>
      </c>
      <c r="H106" s="1">
        <v>19502</v>
      </c>
      <c r="I106" s="5">
        <v>42921</v>
      </c>
      <c r="J106" s="1">
        <v>46690</v>
      </c>
      <c r="K106" s="1">
        <v>46437</v>
      </c>
      <c r="L106" s="1">
        <v>16326</v>
      </c>
    </row>
    <row r="107" s="1" customFormat="1" spans="1:14">
      <c r="A107"/>
      <c r="B107" s="1">
        <v>11761</v>
      </c>
      <c r="C107" s="1">
        <v>15185</v>
      </c>
      <c r="D107" s="1">
        <v>27761</v>
      </c>
      <c r="E107" s="1">
        <v>40829</v>
      </c>
      <c r="F107" s="1">
        <v>41984</v>
      </c>
      <c r="G107" s="1">
        <v>47569</v>
      </c>
      <c r="H107" s="1">
        <v>20100</v>
      </c>
      <c r="I107" s="5">
        <v>43915</v>
      </c>
      <c r="J107" s="1">
        <v>47892</v>
      </c>
      <c r="K107" s="1">
        <v>47555</v>
      </c>
      <c r="L107" s="1">
        <v>16833</v>
      </c>
    </row>
    <row r="108" s="1" customFormat="1" spans="1:14">
      <c r="A108"/>
      <c r="B108" s="1">
        <v>11219</v>
      </c>
      <c r="C108" s="1">
        <v>14503</v>
      </c>
      <c r="D108" s="1">
        <v>26692</v>
      </c>
      <c r="E108" s="1">
        <v>39325</v>
      </c>
      <c r="F108" s="1">
        <v>40517</v>
      </c>
      <c r="G108" s="1">
        <v>46283</v>
      </c>
      <c r="H108" s="1">
        <v>19341</v>
      </c>
      <c r="I108" s="5">
        <v>42827</v>
      </c>
      <c r="J108" s="1">
        <v>46537</v>
      </c>
      <c r="K108" s="1">
        <v>45794</v>
      </c>
      <c r="L108" s="1">
        <v>16098</v>
      </c>
    </row>
    <row r="109" s="1" customFormat="1" spans="1:14">
      <c r="A109"/>
      <c r="B109" s="1">
        <v>11869</v>
      </c>
      <c r="C109" s="1">
        <v>15251</v>
      </c>
      <c r="D109" s="1">
        <v>27750</v>
      </c>
      <c r="E109" s="1">
        <v>40816</v>
      </c>
      <c r="F109" s="1">
        <v>42125</v>
      </c>
      <c r="G109" s="1">
        <v>47818</v>
      </c>
      <c r="H109" s="1">
        <v>20290</v>
      </c>
      <c r="I109" s="5">
        <v>44172</v>
      </c>
      <c r="J109" s="1">
        <v>48171</v>
      </c>
      <c r="K109" s="1">
        <v>47540</v>
      </c>
      <c r="L109" s="1">
        <v>16922</v>
      </c>
    </row>
    <row r="110" s="1" customFormat="1" spans="1:14">
      <c r="A110"/>
      <c r="B110" s="1">
        <v>12110</v>
      </c>
      <c r="C110" s="1">
        <v>15541</v>
      </c>
      <c r="D110" s="1">
        <v>28048</v>
      </c>
      <c r="E110" s="1">
        <v>41762</v>
      </c>
      <c r="F110" s="1">
        <v>42676</v>
      </c>
      <c r="G110" s="1">
        <v>47625</v>
      </c>
      <c r="H110" s="1">
        <v>20604</v>
      </c>
      <c r="I110" s="5">
        <v>43876</v>
      </c>
      <c r="J110" s="1">
        <v>48430</v>
      </c>
      <c r="K110" s="1">
        <v>48207</v>
      </c>
      <c r="L110" s="1">
        <v>17225</v>
      </c>
    </row>
    <row r="111" s="1" customFormat="1" spans="1:14">
      <c r="A111"/>
      <c r="B111" s="1">
        <v>10984</v>
      </c>
      <c r="C111" s="1">
        <v>13988</v>
      </c>
      <c r="D111" s="1">
        <v>22663</v>
      </c>
      <c r="E111" s="1">
        <v>38216</v>
      </c>
      <c r="F111" s="1">
        <v>39448</v>
      </c>
      <c r="G111" s="1">
        <v>41846</v>
      </c>
      <c r="H111" s="1">
        <v>19043</v>
      </c>
      <c r="I111" s="5">
        <v>39004</v>
      </c>
      <c r="J111" s="1">
        <v>45522</v>
      </c>
      <c r="K111" s="1">
        <v>44687</v>
      </c>
      <c r="L111" s="1">
        <v>15717</v>
      </c>
    </row>
    <row r="112" s="1" customFormat="1" spans="1:14">
      <c r="A112"/>
      <c r="B112" s="1">
        <v>12012</v>
      </c>
      <c r="C112" s="1">
        <v>15450</v>
      </c>
      <c r="D112" s="1">
        <v>26794</v>
      </c>
      <c r="E112" s="1">
        <v>41606</v>
      </c>
      <c r="F112" s="1">
        <v>42406</v>
      </c>
      <c r="G112" s="1">
        <v>46278</v>
      </c>
      <c r="H112" s="1">
        <v>20437</v>
      </c>
      <c r="I112" s="5">
        <v>42806</v>
      </c>
      <c r="J112" s="1">
        <v>48198</v>
      </c>
      <c r="K112" s="1">
        <v>48117</v>
      </c>
      <c r="L112" s="1">
        <v>17154</v>
      </c>
    </row>
    <row r="113" s="1" customFormat="1" spans="1:13">
      <c r="A113"/>
      <c r="B113" s="1">
        <v>11417</v>
      </c>
      <c r="C113" s="1">
        <v>14531</v>
      </c>
      <c r="D113" s="1">
        <v>27314</v>
      </c>
      <c r="E113" s="1">
        <v>39432</v>
      </c>
      <c r="F113" s="1">
        <v>40631</v>
      </c>
      <c r="G113" s="1">
        <v>46931</v>
      </c>
      <c r="H113" s="1">
        <v>19596</v>
      </c>
      <c r="I113" s="5">
        <v>43326</v>
      </c>
      <c r="J113" s="1">
        <v>46547</v>
      </c>
      <c r="K113" s="1">
        <v>46536</v>
      </c>
      <c r="L113" s="1">
        <v>16386</v>
      </c>
    </row>
    <row r="114" s="1" customFormat="1" spans="1:13">
      <c r="A114"/>
      <c r="B114" s="1">
        <v>10339</v>
      </c>
      <c r="C114" s="1">
        <v>13412</v>
      </c>
      <c r="D114" s="1">
        <v>24987</v>
      </c>
      <c r="E114" s="1">
        <v>36838</v>
      </c>
      <c r="F114" s="1">
        <v>38237</v>
      </c>
      <c r="G114" s="1">
        <v>44346</v>
      </c>
      <c r="H114" s="1">
        <v>18061</v>
      </c>
      <c r="I114" s="5">
        <v>41153</v>
      </c>
      <c r="J114" s="1">
        <v>44295</v>
      </c>
      <c r="K114" s="1">
        <v>43081</v>
      </c>
      <c r="L114" s="1">
        <v>14923</v>
      </c>
    </row>
    <row r="115" s="1" customFormat="1" spans="1:13">
      <c r="A115"/>
      <c r="B115" s="1">
        <v>9933</v>
      </c>
      <c r="C115" s="1">
        <v>13170</v>
      </c>
      <c r="D115" s="1">
        <v>24161</v>
      </c>
      <c r="E115" s="1">
        <v>36075</v>
      </c>
      <c r="F115" s="1">
        <v>37675</v>
      </c>
      <c r="G115" s="1">
        <v>43834</v>
      </c>
      <c r="H115" s="1">
        <v>17507</v>
      </c>
      <c r="I115" s="5">
        <v>40836</v>
      </c>
      <c r="J115" s="1">
        <v>43970</v>
      </c>
      <c r="K115" s="1">
        <v>41432</v>
      </c>
      <c r="L115" s="1">
        <v>14314</v>
      </c>
    </row>
    <row r="116" s="1" customFormat="1" spans="1:13">
      <c r="A116"/>
      <c r="B116" s="1">
        <v>10362</v>
      </c>
      <c r="C116" s="1">
        <v>13311</v>
      </c>
      <c r="D116" s="1">
        <v>23893</v>
      </c>
      <c r="E116" s="1">
        <v>36504</v>
      </c>
      <c r="F116" s="1">
        <v>37940</v>
      </c>
      <c r="G116" s="1">
        <v>43251</v>
      </c>
      <c r="H116" s="1">
        <v>18092</v>
      </c>
      <c r="I116" s="5">
        <v>40234</v>
      </c>
      <c r="J116" s="1">
        <v>44061</v>
      </c>
      <c r="K116" s="1">
        <v>42691</v>
      </c>
      <c r="L116" s="1">
        <v>14883</v>
      </c>
    </row>
    <row r="117" s="1" customFormat="1" spans="1:13">
      <c r="A117"/>
      <c r="B117" s="1">
        <v>11654</v>
      </c>
      <c r="C117" s="1">
        <v>13801</v>
      </c>
      <c r="D117" s="1">
        <v>24806</v>
      </c>
      <c r="E117" s="1">
        <v>37690</v>
      </c>
      <c r="F117" s="1">
        <v>39152</v>
      </c>
      <c r="G117" s="1">
        <v>44114</v>
      </c>
      <c r="H117" s="1">
        <v>19948</v>
      </c>
      <c r="I117" s="5">
        <v>40844</v>
      </c>
      <c r="J117" s="1">
        <v>44984</v>
      </c>
      <c r="K117" s="1">
        <v>47158</v>
      </c>
      <c r="L117" s="1">
        <v>16674</v>
      </c>
    </row>
    <row r="118" s="1" customFormat="1" spans="1:13">
      <c r="A118"/>
      <c r="B118" s="1">
        <v>10834</v>
      </c>
      <c r="C118" s="1">
        <v>13336</v>
      </c>
      <c r="D118" s="1">
        <v>25040</v>
      </c>
      <c r="E118" s="1">
        <v>36593</v>
      </c>
      <c r="F118" s="1">
        <v>38132</v>
      </c>
      <c r="G118" s="1">
        <v>44438</v>
      </c>
      <c r="H118" s="1">
        <v>18760</v>
      </c>
      <c r="I118" s="5">
        <v>41176</v>
      </c>
      <c r="J118" s="1">
        <v>44107</v>
      </c>
      <c r="K118" s="1">
        <v>44779</v>
      </c>
      <c r="L118" s="1">
        <v>15607</v>
      </c>
    </row>
    <row r="119" s="1" customFormat="1" spans="1:13">
      <c r="A119"/>
      <c r="B119" s="1">
        <v>11024</v>
      </c>
      <c r="C119" s="1">
        <v>13383</v>
      </c>
      <c r="D119" s="1">
        <v>24974</v>
      </c>
      <c r="E119" s="1">
        <v>36769</v>
      </c>
      <c r="F119" s="1">
        <v>38270</v>
      </c>
      <c r="G119" s="1">
        <v>44317</v>
      </c>
      <c r="H119" s="1">
        <v>19025</v>
      </c>
      <c r="I119" s="5">
        <v>41058</v>
      </c>
      <c r="J119" s="1">
        <v>44222</v>
      </c>
      <c r="K119" s="1">
        <v>45341</v>
      </c>
      <c r="L119" s="1">
        <v>15868</v>
      </c>
    </row>
    <row r="120" s="1" customFormat="1" spans="1:13">
      <c r="A120"/>
      <c r="B120" s="1">
        <v>10876</v>
      </c>
      <c r="C120" s="1">
        <v>13854</v>
      </c>
      <c r="D120" s="1">
        <v>25156</v>
      </c>
      <c r="E120" s="1">
        <v>37819</v>
      </c>
      <c r="F120" s="1">
        <v>39269</v>
      </c>
      <c r="G120" s="1">
        <v>44593</v>
      </c>
      <c r="H120" s="1">
        <v>18831</v>
      </c>
      <c r="I120" s="5">
        <v>41291</v>
      </c>
      <c r="J120" s="1">
        <v>45201</v>
      </c>
      <c r="K120" s="1">
        <v>44798</v>
      </c>
      <c r="L120" s="1">
        <v>15643</v>
      </c>
    </row>
    <row r="121" s="1" customFormat="1" spans="1:13">
      <c r="A121"/>
      <c r="B121" s="1">
        <v>11753</v>
      </c>
      <c r="C121" s="1">
        <v>11940</v>
      </c>
      <c r="D121" s="1">
        <v>20209</v>
      </c>
      <c r="E121" s="1">
        <v>33345</v>
      </c>
      <c r="F121" s="1">
        <v>35270</v>
      </c>
      <c r="G121" s="1">
        <v>38965</v>
      </c>
      <c r="H121" s="1">
        <v>20121</v>
      </c>
      <c r="I121" s="5">
        <v>36417</v>
      </c>
      <c r="J121" s="1">
        <v>41278</v>
      </c>
      <c r="K121" s="1">
        <v>47415</v>
      </c>
      <c r="L121" s="1">
        <v>16805</v>
      </c>
    </row>
    <row r="122" s="1" customFormat="1" spans="1:13">
      <c r="A122"/>
      <c r="B122" s="1">
        <v>10998</v>
      </c>
      <c r="C122" s="1">
        <v>13223</v>
      </c>
      <c r="D122" s="1">
        <v>23809</v>
      </c>
      <c r="E122" s="1">
        <v>36433</v>
      </c>
      <c r="F122" s="1">
        <v>37868</v>
      </c>
      <c r="G122" s="1">
        <v>42868</v>
      </c>
      <c r="H122" s="1">
        <v>18951</v>
      </c>
      <c r="I122" s="5">
        <v>39776</v>
      </c>
      <c r="J122" s="1">
        <v>43767</v>
      </c>
      <c r="K122" s="1">
        <v>45459</v>
      </c>
      <c r="L122" s="1">
        <v>15859</v>
      </c>
      <c r="M122" s="1">
        <f>AVERAGE(I105:I122)</f>
        <v>41646.2222222222</v>
      </c>
    </row>
    <row r="123" s="4" customFormat="1" spans="1:13">
      <c r="A123" s="18"/>
    </row>
    <row r="125" spans="1:13">
      <c r="A125" s="17" t="s">
        <v>17</v>
      </c>
    </row>
    <row r="126" s="1" customFormat="1" spans="1:13">
      <c r="A126"/>
      <c r="B126" s="1">
        <v>10641</v>
      </c>
      <c r="C126" s="1">
        <v>13743</v>
      </c>
      <c r="D126" s="1">
        <v>25181</v>
      </c>
      <c r="E126" s="1">
        <v>37719</v>
      </c>
      <c r="F126" s="1">
        <v>39046</v>
      </c>
      <c r="G126" s="1">
        <v>44246</v>
      </c>
      <c r="H126" s="1">
        <v>18452</v>
      </c>
      <c r="I126" s="5">
        <v>40872</v>
      </c>
      <c r="J126" s="1">
        <v>44695</v>
      </c>
      <c r="K126" s="1">
        <v>44457</v>
      </c>
      <c r="L126" s="1">
        <v>15388</v>
      </c>
    </row>
    <row r="127" s="1" customFormat="1" spans="1:13">
      <c r="A127"/>
      <c r="B127" s="1">
        <v>11102</v>
      </c>
      <c r="C127" s="1">
        <v>14407</v>
      </c>
      <c r="D127" s="1">
        <v>26310</v>
      </c>
      <c r="E127" s="1">
        <v>39449</v>
      </c>
      <c r="F127" s="1">
        <v>40339</v>
      </c>
      <c r="G127" s="1">
        <v>45183</v>
      </c>
      <c r="H127" s="1">
        <v>19086</v>
      </c>
      <c r="I127" s="5">
        <v>41618</v>
      </c>
      <c r="J127" s="1">
        <v>45783</v>
      </c>
      <c r="K127" s="1">
        <v>45788</v>
      </c>
      <c r="L127" s="1">
        <v>15992</v>
      </c>
    </row>
    <row r="128" s="1" customFormat="1" spans="1:13">
      <c r="A128"/>
      <c r="B128" s="1">
        <v>10824</v>
      </c>
      <c r="C128" s="1">
        <v>13929</v>
      </c>
      <c r="D128" s="1">
        <v>25352</v>
      </c>
      <c r="E128" s="1">
        <v>38180</v>
      </c>
      <c r="F128" s="1">
        <v>39373</v>
      </c>
      <c r="G128" s="1">
        <v>44537</v>
      </c>
      <c r="H128" s="1">
        <v>18736</v>
      </c>
      <c r="I128" s="5">
        <v>41202</v>
      </c>
      <c r="J128" s="1">
        <v>45161</v>
      </c>
      <c r="K128" s="1">
        <v>44727</v>
      </c>
      <c r="L128" s="1">
        <v>15572</v>
      </c>
    </row>
    <row r="129" s="1" customFormat="1" spans="1:13">
      <c r="A129"/>
      <c r="B129" s="1">
        <v>10163</v>
      </c>
      <c r="C129" s="1">
        <v>13214</v>
      </c>
      <c r="D129" s="1">
        <v>24632</v>
      </c>
      <c r="E129" s="1">
        <v>36516</v>
      </c>
      <c r="F129" s="1">
        <v>37950</v>
      </c>
      <c r="G129" s="1">
        <v>43833</v>
      </c>
      <c r="H129" s="1">
        <v>17813</v>
      </c>
      <c r="I129" s="5">
        <v>40617</v>
      </c>
      <c r="J129" s="1">
        <v>43854</v>
      </c>
      <c r="K129" s="1">
        <v>42835</v>
      </c>
      <c r="L129" s="1">
        <v>14716</v>
      </c>
    </row>
    <row r="130" s="1" customFormat="1" spans="1:13">
      <c r="A130"/>
      <c r="B130" s="1">
        <v>11278</v>
      </c>
      <c r="C130" s="1">
        <v>14610</v>
      </c>
      <c r="D130" s="1">
        <v>26441</v>
      </c>
      <c r="E130" s="1">
        <v>39572</v>
      </c>
      <c r="F130" s="1">
        <v>40768</v>
      </c>
      <c r="G130" s="1">
        <v>46028</v>
      </c>
      <c r="H130" s="1">
        <v>19426</v>
      </c>
      <c r="I130" s="5">
        <v>42574</v>
      </c>
      <c r="J130" s="1">
        <v>46710</v>
      </c>
      <c r="K130" s="1">
        <v>45811</v>
      </c>
      <c r="L130" s="1">
        <v>16139</v>
      </c>
    </row>
    <row r="131" s="1" customFormat="1" spans="1:13">
      <c r="A131"/>
      <c r="B131" s="1">
        <v>10895</v>
      </c>
      <c r="C131" s="1">
        <v>14001</v>
      </c>
      <c r="D131" s="1">
        <v>24619</v>
      </c>
      <c r="E131" s="1">
        <v>38321</v>
      </c>
      <c r="F131" s="1">
        <v>39572</v>
      </c>
      <c r="G131" s="1">
        <v>43776</v>
      </c>
      <c r="H131" s="1">
        <v>18807</v>
      </c>
      <c r="I131" s="5">
        <v>40534</v>
      </c>
      <c r="J131" s="1">
        <v>45294</v>
      </c>
      <c r="K131" s="1">
        <v>45229</v>
      </c>
      <c r="L131" s="1">
        <v>15719</v>
      </c>
    </row>
    <row r="132" s="1" customFormat="1" spans="1:13">
      <c r="A132"/>
      <c r="B132" s="1">
        <v>11442</v>
      </c>
      <c r="C132" s="1">
        <v>14797</v>
      </c>
      <c r="D132" s="1">
        <v>27201</v>
      </c>
      <c r="E132" s="1">
        <v>40049</v>
      </c>
      <c r="F132" s="1">
        <v>41066</v>
      </c>
      <c r="G132" s="1">
        <v>46965</v>
      </c>
      <c r="H132" s="1">
        <v>19728</v>
      </c>
      <c r="I132" s="5">
        <v>43486</v>
      </c>
      <c r="J132" s="1">
        <v>47133</v>
      </c>
      <c r="K132" s="1">
        <v>45756</v>
      </c>
      <c r="L132" s="1">
        <v>16265</v>
      </c>
    </row>
    <row r="133" s="1" customFormat="1" spans="1:13">
      <c r="A133"/>
      <c r="B133" s="1">
        <v>10498</v>
      </c>
      <c r="C133" s="1">
        <v>13590</v>
      </c>
      <c r="D133" s="1">
        <v>25057</v>
      </c>
      <c r="E133" s="1">
        <v>37230</v>
      </c>
      <c r="F133" s="1">
        <v>38595</v>
      </c>
      <c r="G133" s="1">
        <v>44469</v>
      </c>
      <c r="H133" s="1">
        <v>18295</v>
      </c>
      <c r="I133" s="5">
        <v>41237</v>
      </c>
      <c r="J133" s="1">
        <v>44569</v>
      </c>
      <c r="K133" s="1">
        <v>43174</v>
      </c>
      <c r="L133" s="1">
        <v>15056</v>
      </c>
    </row>
    <row r="134" s="1" customFormat="1" spans="1:13">
      <c r="A134"/>
      <c r="B134" s="1">
        <v>10862</v>
      </c>
      <c r="C134" s="1">
        <v>14008</v>
      </c>
      <c r="D134" s="1">
        <v>26552</v>
      </c>
      <c r="E134" s="1">
        <v>38370</v>
      </c>
      <c r="F134" s="1">
        <v>39425</v>
      </c>
      <c r="G134" s="1">
        <v>46000</v>
      </c>
      <c r="H134" s="1">
        <v>18856</v>
      </c>
      <c r="I134" s="5">
        <v>42597</v>
      </c>
      <c r="J134" s="1">
        <v>45393</v>
      </c>
      <c r="K134" s="1">
        <v>44175</v>
      </c>
      <c r="L134" s="1">
        <v>15525</v>
      </c>
    </row>
    <row r="135" s="1" customFormat="1" spans="1:13">
      <c r="A135"/>
      <c r="B135" s="1">
        <v>10613</v>
      </c>
      <c r="C135" s="1">
        <v>13601</v>
      </c>
      <c r="D135" s="1">
        <v>23590</v>
      </c>
      <c r="E135" s="1">
        <v>37661</v>
      </c>
      <c r="F135" s="1">
        <v>38693</v>
      </c>
      <c r="G135" s="1">
        <v>42316</v>
      </c>
      <c r="H135" s="1">
        <v>18504</v>
      </c>
      <c r="I135" s="5">
        <v>39241</v>
      </c>
      <c r="J135" s="1">
        <v>44560</v>
      </c>
      <c r="K135" s="1">
        <v>43631</v>
      </c>
      <c r="L135" s="1">
        <v>15209</v>
      </c>
    </row>
    <row r="136" s="1" customFormat="1" spans="1:13">
      <c r="A136"/>
      <c r="B136" s="1">
        <v>11582</v>
      </c>
      <c r="C136" s="1">
        <v>15176</v>
      </c>
      <c r="D136" s="1">
        <v>28682</v>
      </c>
      <c r="E136" s="1">
        <v>41363</v>
      </c>
      <c r="F136" s="1">
        <v>41917</v>
      </c>
      <c r="G136" s="1">
        <v>47778</v>
      </c>
      <c r="H136" s="1">
        <v>19848</v>
      </c>
      <c r="I136" s="5">
        <v>43882</v>
      </c>
      <c r="J136" s="1">
        <v>47381</v>
      </c>
      <c r="K136" s="1">
        <v>46628</v>
      </c>
      <c r="L136" s="1">
        <v>16522</v>
      </c>
    </row>
    <row r="137" s="1" customFormat="1" spans="1:13">
      <c r="A137"/>
      <c r="B137" s="1">
        <v>10667</v>
      </c>
      <c r="C137" s="1">
        <v>13438</v>
      </c>
      <c r="D137" s="1">
        <v>24677</v>
      </c>
      <c r="E137" s="1">
        <v>37060</v>
      </c>
      <c r="F137" s="1">
        <v>38350</v>
      </c>
      <c r="G137" s="1">
        <v>43823</v>
      </c>
      <c r="H137" s="1">
        <v>18553</v>
      </c>
      <c r="I137" s="5">
        <v>40630</v>
      </c>
      <c r="J137" s="1">
        <v>44307</v>
      </c>
      <c r="K137" s="1">
        <v>44010</v>
      </c>
      <c r="L137" s="1">
        <v>15334</v>
      </c>
    </row>
    <row r="138" s="1" customFormat="1" spans="1:13">
      <c r="A138"/>
      <c r="B138" s="1">
        <v>10833</v>
      </c>
      <c r="C138" s="1">
        <v>13749</v>
      </c>
      <c r="D138" s="1">
        <v>24226</v>
      </c>
      <c r="E138" s="1">
        <v>37544</v>
      </c>
      <c r="F138" s="1">
        <v>38881</v>
      </c>
      <c r="G138" s="1">
        <v>43603</v>
      </c>
      <c r="H138" s="1">
        <v>18795</v>
      </c>
      <c r="I138" s="5">
        <v>40560</v>
      </c>
      <c r="J138" s="1">
        <v>44973</v>
      </c>
      <c r="K138" s="1">
        <v>44322</v>
      </c>
      <c r="L138" s="1">
        <v>15538</v>
      </c>
    </row>
    <row r="139" s="1" customFormat="1" spans="1:13">
      <c r="A139"/>
      <c r="B139" s="1">
        <v>10553</v>
      </c>
      <c r="C139" s="1">
        <v>13310</v>
      </c>
      <c r="D139" s="1">
        <v>23965</v>
      </c>
      <c r="E139" s="1">
        <v>36496</v>
      </c>
      <c r="F139" s="1">
        <v>37982</v>
      </c>
      <c r="G139" s="1">
        <v>43352</v>
      </c>
      <c r="H139" s="1">
        <v>18397</v>
      </c>
      <c r="I139" s="5">
        <v>40337</v>
      </c>
      <c r="J139" s="1">
        <v>44138</v>
      </c>
      <c r="K139" s="1">
        <v>43466</v>
      </c>
      <c r="L139" s="1">
        <v>15168</v>
      </c>
    </row>
    <row r="140" s="1" customFormat="1" spans="1:13">
      <c r="A140"/>
      <c r="B140" s="1">
        <v>10693</v>
      </c>
      <c r="C140" s="1">
        <v>13970</v>
      </c>
      <c r="D140" s="1">
        <v>25288</v>
      </c>
      <c r="E140" s="1">
        <v>37881</v>
      </c>
      <c r="F140" s="1">
        <v>39306</v>
      </c>
      <c r="G140" s="1">
        <v>45197</v>
      </c>
      <c r="H140" s="1">
        <v>18648</v>
      </c>
      <c r="I140" s="5">
        <v>42090</v>
      </c>
      <c r="J140" s="1">
        <v>45696</v>
      </c>
      <c r="K140" s="1">
        <v>43389</v>
      </c>
      <c r="L140" s="1">
        <v>15269</v>
      </c>
    </row>
    <row r="141" s="1" customFormat="1" spans="1:13">
      <c r="A141"/>
      <c r="B141" s="1">
        <v>10528</v>
      </c>
      <c r="C141" s="1">
        <v>13291</v>
      </c>
      <c r="D141" s="1">
        <v>22707</v>
      </c>
      <c r="E141" s="1">
        <v>36510</v>
      </c>
      <c r="F141" s="1">
        <v>38020</v>
      </c>
      <c r="G141" s="1">
        <v>42008</v>
      </c>
      <c r="H141" s="1">
        <v>18403</v>
      </c>
      <c r="I141" s="5">
        <v>39200</v>
      </c>
      <c r="J141" s="1">
        <v>44316</v>
      </c>
      <c r="K141" s="1">
        <v>43333</v>
      </c>
      <c r="L141" s="1">
        <v>15123</v>
      </c>
    </row>
    <row r="142" s="1" customFormat="1" spans="1:13">
      <c r="A142"/>
      <c r="B142" s="1">
        <v>11121</v>
      </c>
      <c r="C142" s="1">
        <v>14528</v>
      </c>
      <c r="D142" s="1">
        <v>26098</v>
      </c>
      <c r="E142" s="1">
        <v>39180</v>
      </c>
      <c r="F142" s="1">
        <v>40523</v>
      </c>
      <c r="G142" s="1">
        <v>46016</v>
      </c>
      <c r="H142" s="1">
        <v>19239</v>
      </c>
      <c r="I142" s="5">
        <v>42743</v>
      </c>
      <c r="J142" s="1">
        <v>46847</v>
      </c>
      <c r="K142" s="1">
        <v>45202</v>
      </c>
      <c r="L142" s="1">
        <v>15926</v>
      </c>
    </row>
    <row r="143" s="1" customFormat="1" spans="1:13">
      <c r="A143"/>
      <c r="B143" s="1">
        <v>10167</v>
      </c>
      <c r="C143" s="1">
        <v>12850</v>
      </c>
      <c r="D143" s="1">
        <v>24008</v>
      </c>
      <c r="E143" s="1">
        <v>35523</v>
      </c>
      <c r="F143" s="1">
        <v>37124</v>
      </c>
      <c r="G143" s="1">
        <v>43518</v>
      </c>
      <c r="H143" s="1">
        <v>17863</v>
      </c>
      <c r="I143" s="5">
        <v>40516</v>
      </c>
      <c r="J143" s="1">
        <v>43385</v>
      </c>
      <c r="K143" s="1">
        <v>42376</v>
      </c>
      <c r="L143" s="1">
        <v>14658</v>
      </c>
      <c r="M143" s="1">
        <f>AVERAGE(I126:I143)</f>
        <v>41329.7777777778</v>
      </c>
    </row>
    <row r="144" s="4" customFormat="1" spans="1:13">
      <c r="A144"/>
    </row>
    <row r="145" spans="1:12">
      <c r="A145" s="18"/>
    </row>
    <row r="147" s="1" customFormat="1" spans="1:12">
      <c r="A147" s="17" t="s">
        <v>18</v>
      </c>
      <c r="B147" s="1">
        <v>10605</v>
      </c>
      <c r="C147" s="1">
        <v>14628</v>
      </c>
      <c r="D147" s="1">
        <v>24436</v>
      </c>
      <c r="E147" s="1">
        <v>39362</v>
      </c>
      <c r="F147" s="1">
        <v>40667</v>
      </c>
      <c r="G147" s="1">
        <v>43828</v>
      </c>
      <c r="H147" s="1">
        <v>18418</v>
      </c>
      <c r="I147" s="5">
        <v>40704</v>
      </c>
      <c r="J147" s="1">
        <v>46663</v>
      </c>
      <c r="K147" s="1">
        <v>43969</v>
      </c>
      <c r="L147" s="1">
        <v>15293</v>
      </c>
    </row>
    <row r="148" s="1" customFormat="1" spans="1:12">
      <c r="A148"/>
      <c r="B148" s="1">
        <v>11839</v>
      </c>
      <c r="C148" s="1">
        <v>15190</v>
      </c>
      <c r="D148" s="1">
        <v>28058</v>
      </c>
      <c r="E148" s="1">
        <v>40646</v>
      </c>
      <c r="F148" s="1">
        <v>41884</v>
      </c>
      <c r="G148" s="1">
        <v>47976</v>
      </c>
      <c r="H148" s="1">
        <v>20193</v>
      </c>
      <c r="I148" s="5">
        <v>44288</v>
      </c>
      <c r="J148" s="1">
        <v>47847</v>
      </c>
      <c r="K148" s="1">
        <v>47657</v>
      </c>
      <c r="L148" s="1">
        <v>16926</v>
      </c>
    </row>
    <row r="149" s="1" customFormat="1" spans="1:12">
      <c r="A149"/>
      <c r="B149" s="1">
        <v>10805</v>
      </c>
      <c r="C149" s="1">
        <v>12986</v>
      </c>
      <c r="D149" s="1">
        <v>25123</v>
      </c>
      <c r="E149" s="1">
        <v>35812</v>
      </c>
      <c r="F149" s="1">
        <v>37320</v>
      </c>
      <c r="G149" s="1">
        <v>44308</v>
      </c>
      <c r="H149" s="1">
        <v>18666</v>
      </c>
      <c r="I149" s="5">
        <v>41064</v>
      </c>
      <c r="J149" s="1">
        <v>43291</v>
      </c>
      <c r="K149" s="1">
        <v>44832</v>
      </c>
      <c r="L149" s="1">
        <v>15610</v>
      </c>
    </row>
    <row r="150" s="1" customFormat="1" spans="1:12">
      <c r="A150"/>
      <c r="B150" s="1">
        <v>9903</v>
      </c>
      <c r="C150" s="1">
        <v>12883</v>
      </c>
      <c r="D150" s="1">
        <v>23921</v>
      </c>
      <c r="E150" s="1">
        <v>35605</v>
      </c>
      <c r="F150" s="1">
        <v>37237</v>
      </c>
      <c r="G150" s="1">
        <v>43172</v>
      </c>
      <c r="H150" s="1">
        <v>17412</v>
      </c>
      <c r="I150" s="5">
        <v>40108</v>
      </c>
      <c r="J150" s="1">
        <v>43221</v>
      </c>
      <c r="K150" s="1">
        <v>42212</v>
      </c>
      <c r="L150" s="1">
        <v>14402</v>
      </c>
    </row>
    <row r="151" s="1" customFormat="1" spans="1:12">
      <c r="A151"/>
      <c r="B151" s="1">
        <v>10168</v>
      </c>
      <c r="C151" s="1">
        <v>13357</v>
      </c>
      <c r="D151" s="1">
        <v>24773</v>
      </c>
      <c r="E151" s="1">
        <v>36754</v>
      </c>
      <c r="F151" s="1">
        <v>38130</v>
      </c>
      <c r="G151" s="1">
        <v>44042</v>
      </c>
      <c r="H151" s="1">
        <v>17783</v>
      </c>
      <c r="I151" s="5">
        <v>40882</v>
      </c>
      <c r="J151" s="1">
        <v>44101</v>
      </c>
      <c r="K151" s="1">
        <v>43009</v>
      </c>
      <c r="L151" s="1">
        <v>14767</v>
      </c>
    </row>
    <row r="152" s="1" customFormat="1" spans="1:12">
      <c r="A152"/>
      <c r="B152" s="1">
        <v>10789</v>
      </c>
      <c r="C152" s="1">
        <v>13753</v>
      </c>
      <c r="D152" s="1">
        <v>24046</v>
      </c>
      <c r="E152" s="1">
        <v>37550</v>
      </c>
      <c r="F152" s="1">
        <v>38909</v>
      </c>
      <c r="G152" s="1">
        <v>43293</v>
      </c>
      <c r="H152" s="1">
        <v>18663</v>
      </c>
      <c r="I152" s="5">
        <v>40234</v>
      </c>
      <c r="J152" s="1">
        <v>44889</v>
      </c>
      <c r="K152" s="1">
        <v>44687</v>
      </c>
      <c r="L152" s="1">
        <v>15569</v>
      </c>
    </row>
    <row r="153" s="1" customFormat="1" spans="1:12">
      <c r="A153"/>
      <c r="B153" s="1">
        <v>10459</v>
      </c>
      <c r="C153" s="1">
        <v>13532</v>
      </c>
      <c r="D153" s="1">
        <v>24296</v>
      </c>
      <c r="E153" s="1">
        <v>37152</v>
      </c>
      <c r="F153" s="1">
        <v>38491</v>
      </c>
      <c r="G153" s="1">
        <v>43559</v>
      </c>
      <c r="H153" s="1">
        <v>18249</v>
      </c>
      <c r="I153" s="5">
        <v>40456</v>
      </c>
      <c r="J153" s="1">
        <v>44513</v>
      </c>
      <c r="K153" s="1">
        <v>43252</v>
      </c>
      <c r="L153" s="1">
        <v>15045</v>
      </c>
    </row>
    <row r="154" s="1" customFormat="1" spans="1:12">
      <c r="A154"/>
      <c r="B154" s="1">
        <v>10500</v>
      </c>
      <c r="C154" s="1">
        <v>13509</v>
      </c>
      <c r="D154" s="1">
        <v>24329</v>
      </c>
      <c r="E154" s="1">
        <v>37146</v>
      </c>
      <c r="F154" s="1">
        <v>38472</v>
      </c>
      <c r="G154" s="1">
        <v>43522</v>
      </c>
      <c r="H154" s="1">
        <v>18295</v>
      </c>
      <c r="I154" s="5">
        <v>40392</v>
      </c>
      <c r="J154" s="1">
        <v>44419</v>
      </c>
      <c r="K154" s="1">
        <v>43588</v>
      </c>
      <c r="L154" s="1">
        <v>15137</v>
      </c>
    </row>
    <row r="155" s="1" customFormat="1" spans="1:12">
      <c r="A155"/>
      <c r="B155" s="1">
        <v>10880</v>
      </c>
      <c r="C155" s="1">
        <v>14086</v>
      </c>
      <c r="D155" s="1">
        <v>26147</v>
      </c>
      <c r="E155" s="1">
        <v>38660</v>
      </c>
      <c r="F155" s="1">
        <v>39670</v>
      </c>
      <c r="G155" s="1">
        <v>45272</v>
      </c>
      <c r="H155" s="1">
        <v>18851</v>
      </c>
      <c r="I155" s="5">
        <v>41813</v>
      </c>
      <c r="J155" s="1">
        <v>45406</v>
      </c>
      <c r="K155" s="1">
        <v>44559</v>
      </c>
      <c r="L155" s="1">
        <v>15600</v>
      </c>
    </row>
    <row r="156" s="1" customFormat="1" spans="1:12">
      <c r="A156"/>
      <c r="B156" s="1">
        <v>9311</v>
      </c>
      <c r="C156" s="1">
        <v>12834</v>
      </c>
      <c r="D156" s="1">
        <v>24012</v>
      </c>
      <c r="E156" s="1">
        <v>35699</v>
      </c>
      <c r="F156" s="1">
        <v>37108</v>
      </c>
      <c r="G156" s="1">
        <v>43135</v>
      </c>
      <c r="H156" s="1">
        <v>16586</v>
      </c>
      <c r="I156" s="5">
        <v>40057</v>
      </c>
      <c r="J156" s="1">
        <v>43071</v>
      </c>
      <c r="K156" s="1">
        <v>40086</v>
      </c>
      <c r="L156" s="1">
        <v>13555</v>
      </c>
    </row>
    <row r="157" s="1" customFormat="1" spans="1:12">
      <c r="A157"/>
      <c r="B157" s="1">
        <v>9371</v>
      </c>
      <c r="C157" s="1">
        <v>12407</v>
      </c>
      <c r="D157" s="1">
        <v>22470</v>
      </c>
      <c r="E157" s="1">
        <v>34644</v>
      </c>
      <c r="F157" s="1">
        <v>36178</v>
      </c>
      <c r="G157" s="1">
        <v>41413</v>
      </c>
      <c r="H157" s="1">
        <v>16658</v>
      </c>
      <c r="I157" s="5">
        <v>38554</v>
      </c>
      <c r="J157" s="1">
        <v>42147</v>
      </c>
      <c r="K157" s="1">
        <v>40144</v>
      </c>
      <c r="L157" s="1">
        <v>13627</v>
      </c>
    </row>
    <row r="158" s="1" customFormat="1" spans="1:12">
      <c r="A158"/>
      <c r="B158" s="1">
        <v>10175</v>
      </c>
      <c r="C158" s="1">
        <v>13150</v>
      </c>
      <c r="D158" s="1">
        <v>24104</v>
      </c>
      <c r="E158" s="1">
        <v>36175</v>
      </c>
      <c r="F158" s="1">
        <v>37746</v>
      </c>
      <c r="G158" s="1">
        <v>43701</v>
      </c>
      <c r="H158" s="1">
        <v>17881</v>
      </c>
      <c r="I158" s="5">
        <v>40684</v>
      </c>
      <c r="J158" s="1">
        <v>43956</v>
      </c>
      <c r="K158" s="1">
        <v>42081</v>
      </c>
      <c r="L158" s="1">
        <v>14615</v>
      </c>
    </row>
    <row r="159" s="1" customFormat="1" spans="1:12">
      <c r="A159"/>
      <c r="B159" s="1">
        <v>10148</v>
      </c>
      <c r="C159" s="1">
        <v>13137</v>
      </c>
      <c r="D159" s="1">
        <v>24085</v>
      </c>
      <c r="E159" s="1">
        <v>36105</v>
      </c>
      <c r="F159" s="1">
        <v>37780</v>
      </c>
      <c r="G159" s="1">
        <v>43782</v>
      </c>
      <c r="H159" s="1">
        <v>17876</v>
      </c>
      <c r="I159" s="5">
        <v>40744</v>
      </c>
      <c r="J159" s="1">
        <v>43991</v>
      </c>
      <c r="K159" s="1">
        <v>42145</v>
      </c>
      <c r="L159" s="1">
        <v>14600</v>
      </c>
    </row>
    <row r="160" s="1" customFormat="1" spans="1:12">
      <c r="A160"/>
      <c r="B160" s="1">
        <v>10003</v>
      </c>
      <c r="C160" s="1">
        <v>13007</v>
      </c>
      <c r="D160" s="1">
        <v>24669</v>
      </c>
      <c r="E160" s="1">
        <v>36176</v>
      </c>
      <c r="F160" s="1">
        <v>37530</v>
      </c>
      <c r="G160" s="1">
        <v>43672</v>
      </c>
      <c r="H160" s="1">
        <v>17547</v>
      </c>
      <c r="I160" s="5">
        <v>40416</v>
      </c>
      <c r="J160" s="1">
        <v>43295</v>
      </c>
      <c r="K160" s="1">
        <v>42510</v>
      </c>
      <c r="L160" s="1">
        <v>14538</v>
      </c>
    </row>
    <row r="161" s="1" customFormat="1" spans="1:13">
      <c r="A161"/>
      <c r="B161" s="1">
        <v>11053</v>
      </c>
      <c r="C161" s="1">
        <v>13401</v>
      </c>
      <c r="D161" s="1">
        <v>22035</v>
      </c>
      <c r="E161" s="1">
        <v>37095</v>
      </c>
      <c r="F161" s="1">
        <v>38305</v>
      </c>
      <c r="G161" s="1">
        <v>40771</v>
      </c>
      <c r="H161" s="1">
        <v>19006</v>
      </c>
      <c r="I161" s="5">
        <v>37923</v>
      </c>
      <c r="J161" s="1">
        <v>43901</v>
      </c>
      <c r="K161" s="1">
        <v>45607</v>
      </c>
      <c r="L161" s="1">
        <v>15923</v>
      </c>
    </row>
    <row r="162" s="1" customFormat="1" spans="1:13">
      <c r="A162"/>
      <c r="B162" s="1">
        <v>10918</v>
      </c>
      <c r="C162" s="1">
        <v>14116</v>
      </c>
      <c r="D162" s="1">
        <v>26195</v>
      </c>
      <c r="E162" s="1">
        <v>38830</v>
      </c>
      <c r="F162" s="1">
        <v>39775</v>
      </c>
      <c r="G162" s="1">
        <v>44991</v>
      </c>
      <c r="H162" s="1">
        <v>18812</v>
      </c>
      <c r="I162" s="5">
        <v>41428</v>
      </c>
      <c r="J162" s="1">
        <v>45199</v>
      </c>
      <c r="K162" s="1">
        <v>45296</v>
      </c>
      <c r="L162" s="1">
        <v>15756</v>
      </c>
    </row>
    <row r="163" s="1" customFormat="1" spans="1:13">
      <c r="A163"/>
      <c r="B163" s="1">
        <v>10888</v>
      </c>
      <c r="C163" s="1">
        <v>13943</v>
      </c>
      <c r="D163" s="1">
        <v>25924</v>
      </c>
      <c r="E163" s="1">
        <v>38065</v>
      </c>
      <c r="F163" s="1">
        <v>39472</v>
      </c>
      <c r="G163" s="1">
        <v>45508</v>
      </c>
      <c r="H163" s="1">
        <v>18874</v>
      </c>
      <c r="I163" s="5">
        <v>42101</v>
      </c>
      <c r="J163" s="1">
        <v>45386</v>
      </c>
      <c r="K163" s="1">
        <v>44677</v>
      </c>
      <c r="L163" s="1">
        <v>15624</v>
      </c>
    </row>
    <row r="164" s="1" customFormat="1" spans="1:13">
      <c r="A164"/>
      <c r="B164" s="1">
        <v>11483</v>
      </c>
      <c r="C164" s="1">
        <v>15087</v>
      </c>
      <c r="D164" s="1">
        <v>26757</v>
      </c>
      <c r="E164" s="1">
        <v>40789</v>
      </c>
      <c r="F164" s="1">
        <v>41801</v>
      </c>
      <c r="G164" s="1">
        <v>46326</v>
      </c>
      <c r="H164" s="1">
        <v>19725</v>
      </c>
      <c r="I164" s="5">
        <v>42824</v>
      </c>
      <c r="J164" s="1">
        <v>47589</v>
      </c>
      <c r="K164" s="1">
        <v>46476</v>
      </c>
      <c r="L164" s="1">
        <v>16433</v>
      </c>
      <c r="M164" s="1">
        <f>AVERAGE(I147:I164)</f>
        <v>40815.1111111111</v>
      </c>
    </row>
    <row r="165" s="4" customFormat="1" spans="1:13">
      <c r="A165"/>
    </row>
    <row r="166" spans="1:13">
      <c r="A166" s="18"/>
    </row>
    <row r="168" s="1" customFormat="1" spans="1:13">
      <c r="A168" s="17" t="s">
        <v>19</v>
      </c>
      <c r="B168" s="1">
        <v>10945</v>
      </c>
      <c r="C168" s="1">
        <v>14106</v>
      </c>
      <c r="D168" s="1">
        <v>26593</v>
      </c>
      <c r="E168" s="1">
        <v>38589</v>
      </c>
      <c r="F168" s="1">
        <v>39687</v>
      </c>
      <c r="G168" s="1">
        <v>45930</v>
      </c>
      <c r="H168" s="1">
        <v>18937</v>
      </c>
      <c r="I168" s="5">
        <v>42431</v>
      </c>
      <c r="J168" s="1">
        <v>45475</v>
      </c>
      <c r="K168" s="1">
        <v>44756</v>
      </c>
      <c r="L168" s="1">
        <v>15696</v>
      </c>
    </row>
    <row r="169" s="1" customFormat="1" spans="1:13">
      <c r="A169"/>
      <c r="B169" s="1">
        <v>10423</v>
      </c>
      <c r="C169" s="1">
        <v>13060</v>
      </c>
      <c r="D169" s="1">
        <v>24932</v>
      </c>
      <c r="E169" s="1">
        <v>36224</v>
      </c>
      <c r="F169" s="1">
        <v>37652</v>
      </c>
      <c r="G169" s="1">
        <v>44142</v>
      </c>
      <c r="H169" s="1">
        <v>18183</v>
      </c>
      <c r="I169" s="5">
        <v>40864</v>
      </c>
      <c r="J169" s="1">
        <v>43478</v>
      </c>
      <c r="K169" s="1">
        <v>43572</v>
      </c>
      <c r="L169" s="1">
        <v>15056</v>
      </c>
    </row>
    <row r="170" s="1" customFormat="1" spans="1:13">
      <c r="A170"/>
      <c r="B170" s="1">
        <v>9843</v>
      </c>
      <c r="C170" s="1">
        <v>12301</v>
      </c>
      <c r="D170" s="1">
        <v>23307</v>
      </c>
      <c r="E170" s="1">
        <v>34475</v>
      </c>
      <c r="F170" s="1">
        <v>35993</v>
      </c>
      <c r="G170" s="1">
        <v>42052</v>
      </c>
      <c r="H170" s="1">
        <v>17311</v>
      </c>
      <c r="I170" s="5">
        <v>39019</v>
      </c>
      <c r="J170" s="1">
        <v>41843</v>
      </c>
      <c r="K170" s="1">
        <v>41790</v>
      </c>
      <c r="L170" s="1">
        <v>14284</v>
      </c>
    </row>
    <row r="171" s="1" customFormat="1" spans="1:13">
      <c r="A171"/>
      <c r="B171" s="1">
        <v>9378</v>
      </c>
      <c r="C171" s="1">
        <v>12035</v>
      </c>
      <c r="D171" s="1">
        <v>21653</v>
      </c>
      <c r="E171" s="1">
        <v>33837</v>
      </c>
      <c r="F171" s="1">
        <v>35430</v>
      </c>
      <c r="G171" s="1">
        <v>40357</v>
      </c>
      <c r="H171" s="1">
        <v>16637</v>
      </c>
      <c r="I171" s="5">
        <v>37580</v>
      </c>
      <c r="J171" s="1">
        <v>41324</v>
      </c>
      <c r="K171" s="1">
        <v>40295</v>
      </c>
      <c r="L171" s="1">
        <v>13653</v>
      </c>
    </row>
    <row r="172" s="1" customFormat="1" spans="1:13">
      <c r="A172"/>
      <c r="B172" s="1">
        <v>9808</v>
      </c>
      <c r="C172" s="1">
        <v>12051</v>
      </c>
      <c r="D172" s="1">
        <v>19981</v>
      </c>
      <c r="E172" s="1">
        <v>33674</v>
      </c>
      <c r="F172" s="1">
        <v>35378</v>
      </c>
      <c r="G172" s="1">
        <v>38638</v>
      </c>
      <c r="H172" s="1">
        <v>17278</v>
      </c>
      <c r="I172" s="5">
        <v>36138</v>
      </c>
      <c r="J172" s="1">
        <v>41443</v>
      </c>
      <c r="K172" s="1">
        <v>41183</v>
      </c>
      <c r="L172" s="1">
        <v>14167</v>
      </c>
    </row>
    <row r="173" s="1" customFormat="1" spans="1:13">
      <c r="A173"/>
      <c r="B173" s="1">
        <v>8857</v>
      </c>
      <c r="C173" s="1">
        <v>11883</v>
      </c>
      <c r="D173" s="1">
        <v>22707</v>
      </c>
      <c r="E173" s="1">
        <v>33358</v>
      </c>
      <c r="F173" s="1">
        <v>35056</v>
      </c>
      <c r="G173" s="1">
        <v>41847</v>
      </c>
      <c r="H173" s="1">
        <v>15916</v>
      </c>
      <c r="I173" s="5">
        <v>39014</v>
      </c>
      <c r="J173" s="1">
        <v>41143</v>
      </c>
      <c r="K173" s="1">
        <v>38392</v>
      </c>
      <c r="L173" s="1">
        <v>12909</v>
      </c>
    </row>
    <row r="174" s="1" customFormat="1" spans="1:13">
      <c r="A174"/>
      <c r="B174" s="1">
        <v>10323</v>
      </c>
      <c r="C174" s="1">
        <v>12451</v>
      </c>
      <c r="D174" s="1">
        <v>20040</v>
      </c>
      <c r="E174" s="1">
        <v>34842</v>
      </c>
      <c r="F174" s="1">
        <v>36304</v>
      </c>
      <c r="G174" s="1">
        <v>38667</v>
      </c>
      <c r="H174" s="1">
        <v>17996</v>
      </c>
      <c r="I174" s="5">
        <v>36128</v>
      </c>
      <c r="J174" s="1">
        <v>42104</v>
      </c>
      <c r="K174" s="1">
        <v>43240</v>
      </c>
      <c r="L174" s="1">
        <v>14921</v>
      </c>
    </row>
    <row r="175" s="1" customFormat="1" spans="1:13">
      <c r="A175"/>
      <c r="B175" s="1">
        <v>9790</v>
      </c>
      <c r="C175" s="1">
        <v>12651</v>
      </c>
      <c r="D175" s="1">
        <v>21742</v>
      </c>
      <c r="E175" s="1">
        <v>35294</v>
      </c>
      <c r="F175" s="1">
        <v>36745</v>
      </c>
      <c r="G175" s="1">
        <v>40544</v>
      </c>
      <c r="H175" s="1">
        <v>17240</v>
      </c>
      <c r="I175" s="5">
        <v>37777</v>
      </c>
      <c r="J175" s="1">
        <v>42534</v>
      </c>
      <c r="K175" s="1">
        <v>41651</v>
      </c>
      <c r="L175" s="1">
        <v>14209</v>
      </c>
    </row>
    <row r="176" s="1" customFormat="1" spans="1:13">
      <c r="A176"/>
      <c r="B176" s="1">
        <v>10170</v>
      </c>
      <c r="C176" s="1">
        <v>12937</v>
      </c>
      <c r="D176" s="1">
        <v>23453</v>
      </c>
      <c r="E176" s="1">
        <v>36008</v>
      </c>
      <c r="F176" s="1">
        <v>37342</v>
      </c>
      <c r="G176" s="1">
        <v>42480</v>
      </c>
      <c r="H176" s="1">
        <v>17807</v>
      </c>
      <c r="I176" s="5">
        <v>39473</v>
      </c>
      <c r="J176" s="1">
        <v>43160</v>
      </c>
      <c r="K176" s="1">
        <v>42795</v>
      </c>
      <c r="L176" s="1">
        <v>14724</v>
      </c>
    </row>
    <row r="177" s="1" customFormat="1" spans="1:13">
      <c r="A177"/>
      <c r="B177" s="1">
        <v>10198</v>
      </c>
      <c r="C177" s="1">
        <v>12947</v>
      </c>
      <c r="D177" s="1">
        <v>23239</v>
      </c>
      <c r="E177" s="1">
        <v>35956</v>
      </c>
      <c r="F177" s="1">
        <v>37342</v>
      </c>
      <c r="G177" s="1">
        <v>42195</v>
      </c>
      <c r="H177" s="1">
        <v>17834</v>
      </c>
      <c r="I177" s="5">
        <v>39203</v>
      </c>
      <c r="J177" s="1">
        <v>43187</v>
      </c>
      <c r="K177" s="1">
        <v>42746</v>
      </c>
      <c r="L177" s="1">
        <v>14738</v>
      </c>
    </row>
    <row r="178" s="1" customFormat="1" spans="1:13">
      <c r="A178"/>
      <c r="B178" s="1">
        <v>9700</v>
      </c>
      <c r="C178" s="1">
        <v>12200</v>
      </c>
      <c r="D178" s="1">
        <v>22361</v>
      </c>
      <c r="E178" s="1">
        <v>34127</v>
      </c>
      <c r="F178" s="1">
        <v>35754</v>
      </c>
      <c r="G178" s="1">
        <v>41373</v>
      </c>
      <c r="H178" s="1">
        <v>17128</v>
      </c>
      <c r="I178" s="5">
        <v>38543</v>
      </c>
      <c r="J178" s="1">
        <v>41751</v>
      </c>
      <c r="K178" s="1">
        <v>41029</v>
      </c>
      <c r="L178" s="1">
        <v>14038</v>
      </c>
    </row>
    <row r="179" s="1" customFormat="1" spans="1:13">
      <c r="A179"/>
      <c r="B179" s="1">
        <v>9623</v>
      </c>
      <c r="C179" s="1">
        <v>13217</v>
      </c>
      <c r="D179" s="1">
        <v>24118</v>
      </c>
      <c r="E179" s="1">
        <v>36591</v>
      </c>
      <c r="F179" s="1">
        <v>37867</v>
      </c>
      <c r="G179" s="1">
        <v>43199</v>
      </c>
      <c r="H179" s="1">
        <v>17020</v>
      </c>
      <c r="I179" s="5">
        <v>40087</v>
      </c>
      <c r="J179" s="1">
        <v>43741</v>
      </c>
      <c r="K179" s="1">
        <v>40870</v>
      </c>
      <c r="L179" s="1">
        <v>13950</v>
      </c>
    </row>
    <row r="180" s="1" customFormat="1" spans="1:13">
      <c r="A180"/>
      <c r="B180" s="1">
        <v>9893</v>
      </c>
      <c r="C180" s="1">
        <v>12603</v>
      </c>
      <c r="D180" s="1">
        <v>20902</v>
      </c>
      <c r="E180" s="1">
        <v>34944</v>
      </c>
      <c r="F180" s="1">
        <v>36493</v>
      </c>
      <c r="G180" s="1">
        <v>39688</v>
      </c>
      <c r="H180" s="1">
        <v>17399</v>
      </c>
      <c r="I180" s="5">
        <v>37064</v>
      </c>
      <c r="J180" s="1">
        <v>42505</v>
      </c>
      <c r="K180" s="1">
        <v>41493</v>
      </c>
      <c r="L180" s="1">
        <v>14281</v>
      </c>
    </row>
    <row r="181" s="1" customFormat="1" spans="1:13">
      <c r="A181"/>
      <c r="B181" s="1">
        <v>10093</v>
      </c>
      <c r="C181" s="1">
        <v>13327</v>
      </c>
      <c r="D181" s="1">
        <v>23399</v>
      </c>
      <c r="E181" s="1">
        <v>36694</v>
      </c>
      <c r="F181" s="1">
        <v>37962</v>
      </c>
      <c r="G181" s="1">
        <v>42454</v>
      </c>
      <c r="H181" s="1">
        <v>17704</v>
      </c>
      <c r="I181" s="5">
        <v>39491</v>
      </c>
      <c r="J181" s="1">
        <v>43980</v>
      </c>
      <c r="K181" s="1">
        <v>41942</v>
      </c>
      <c r="L181" s="1">
        <v>14528</v>
      </c>
    </row>
    <row r="182" s="1" customFormat="1" spans="1:13">
      <c r="A182"/>
      <c r="B182" s="1">
        <v>9985</v>
      </c>
      <c r="C182" s="1">
        <v>14037</v>
      </c>
      <c r="D182" s="1">
        <v>25505</v>
      </c>
      <c r="E182" s="1">
        <v>38144</v>
      </c>
      <c r="F182" s="1">
        <v>39412</v>
      </c>
      <c r="G182" s="1">
        <v>45401</v>
      </c>
      <c r="H182" s="1">
        <v>17623</v>
      </c>
      <c r="I182" s="5">
        <v>42258</v>
      </c>
      <c r="J182" s="1">
        <v>45777</v>
      </c>
      <c r="K182" s="1">
        <v>40990</v>
      </c>
      <c r="L182" s="1">
        <v>14275</v>
      </c>
    </row>
    <row r="183" s="1" customFormat="1" spans="1:13">
      <c r="A183"/>
      <c r="B183" s="1">
        <v>10486</v>
      </c>
      <c r="C183" s="1">
        <v>13374</v>
      </c>
      <c r="D183" s="1">
        <v>23126</v>
      </c>
      <c r="E183" s="1">
        <v>36922</v>
      </c>
      <c r="F183" s="1">
        <v>38159</v>
      </c>
      <c r="G183" s="1">
        <v>42238</v>
      </c>
      <c r="H183" s="1">
        <v>18280</v>
      </c>
      <c r="I183" s="5">
        <v>39303</v>
      </c>
      <c r="J183" s="1">
        <v>44103</v>
      </c>
      <c r="K183" s="1">
        <v>43215</v>
      </c>
      <c r="L183" s="1">
        <v>15055</v>
      </c>
    </row>
    <row r="184" s="1" customFormat="1" spans="1:13">
      <c r="A184"/>
      <c r="B184" s="1">
        <v>9585</v>
      </c>
      <c r="C184" s="1">
        <v>13269</v>
      </c>
      <c r="D184" s="1">
        <v>25050</v>
      </c>
      <c r="E184" s="1">
        <v>36552</v>
      </c>
      <c r="F184" s="1">
        <v>37829</v>
      </c>
      <c r="G184" s="1">
        <v>44234</v>
      </c>
      <c r="H184" s="1">
        <v>16941</v>
      </c>
      <c r="I184" s="5">
        <v>41003</v>
      </c>
      <c r="J184" s="1">
        <v>43759</v>
      </c>
      <c r="K184" s="1">
        <v>40577</v>
      </c>
      <c r="L184" s="1">
        <v>13877</v>
      </c>
    </row>
    <row r="185" s="1" customFormat="1" spans="1:13">
      <c r="A185"/>
      <c r="B185" s="1">
        <v>9431</v>
      </c>
      <c r="C185" s="1">
        <v>12207</v>
      </c>
      <c r="D185" s="1">
        <v>22333</v>
      </c>
      <c r="E185" s="1">
        <v>34056</v>
      </c>
      <c r="F185" s="1">
        <v>35722</v>
      </c>
      <c r="G185" s="1">
        <v>41359</v>
      </c>
      <c r="H185" s="1">
        <v>16727</v>
      </c>
      <c r="I185" s="5">
        <v>38526</v>
      </c>
      <c r="J185" s="1">
        <v>41753</v>
      </c>
      <c r="K185" s="1">
        <v>40229</v>
      </c>
      <c r="L185" s="1">
        <v>13685</v>
      </c>
      <c r="M185" s="1">
        <f>AVERAGE(I168:I185)</f>
        <v>39105.6666666667</v>
      </c>
    </row>
    <row r="186" s="4" customFormat="1" spans="1:13">
      <c r="A186"/>
    </row>
    <row r="187" spans="1:13">
      <c r="A187" s="18"/>
    </row>
    <row r="189" s="1" customFormat="1" spans="1:13">
      <c r="A189"/>
      <c r="B189" s="1">
        <v>10574</v>
      </c>
      <c r="C189" s="1">
        <v>13235</v>
      </c>
      <c r="D189" s="1">
        <v>23913</v>
      </c>
      <c r="E189" s="1">
        <v>36611</v>
      </c>
      <c r="F189" s="1">
        <v>38033</v>
      </c>
      <c r="G189" s="1">
        <v>42946</v>
      </c>
      <c r="H189" s="1">
        <v>18395</v>
      </c>
      <c r="I189" s="5">
        <v>39785</v>
      </c>
      <c r="J189" s="1">
        <v>43774</v>
      </c>
      <c r="K189" s="1">
        <v>44172</v>
      </c>
      <c r="L189" s="1">
        <v>15277</v>
      </c>
    </row>
    <row r="190" s="1" customFormat="1" spans="1:13">
      <c r="A190" s="17" t="s">
        <v>20</v>
      </c>
      <c r="B190" s="1">
        <v>9807</v>
      </c>
      <c r="C190" s="1">
        <v>13078</v>
      </c>
      <c r="D190" s="1">
        <v>24721</v>
      </c>
      <c r="E190" s="1">
        <v>36340</v>
      </c>
      <c r="F190" s="1">
        <v>37623</v>
      </c>
      <c r="G190" s="1">
        <v>43694</v>
      </c>
      <c r="H190" s="1">
        <v>17257</v>
      </c>
      <c r="I190" s="5">
        <v>40435</v>
      </c>
      <c r="J190" s="1">
        <v>43349</v>
      </c>
      <c r="K190" s="1">
        <v>41810</v>
      </c>
      <c r="L190" s="1">
        <v>14248</v>
      </c>
    </row>
    <row r="191" s="1" customFormat="1" spans="1:13">
      <c r="A191"/>
      <c r="B191" s="1">
        <v>9652</v>
      </c>
      <c r="C191" s="1">
        <v>12511</v>
      </c>
      <c r="D191" s="1">
        <v>23267</v>
      </c>
      <c r="E191" s="1">
        <v>35070</v>
      </c>
      <c r="F191" s="1">
        <v>36443</v>
      </c>
      <c r="G191" s="1">
        <v>42045</v>
      </c>
      <c r="H191" s="1">
        <v>17036</v>
      </c>
      <c r="I191" s="5">
        <v>39015</v>
      </c>
      <c r="J191" s="1">
        <v>42186</v>
      </c>
      <c r="K191" s="1">
        <v>41305</v>
      </c>
      <c r="L191" s="1">
        <v>14035</v>
      </c>
    </row>
    <row r="192" s="1" customFormat="1" spans="1:13">
      <c r="A192"/>
      <c r="B192" s="1">
        <v>9352</v>
      </c>
      <c r="C192" s="1">
        <v>12203</v>
      </c>
      <c r="D192" s="1">
        <v>23172</v>
      </c>
      <c r="E192" s="1">
        <v>34285</v>
      </c>
      <c r="F192" s="1">
        <v>35861</v>
      </c>
      <c r="G192" s="1">
        <v>41968</v>
      </c>
      <c r="H192" s="1">
        <v>16602</v>
      </c>
      <c r="I192" s="5">
        <v>38904</v>
      </c>
      <c r="J192" s="1">
        <v>41591</v>
      </c>
      <c r="K192" s="1">
        <v>40537</v>
      </c>
      <c r="L192" s="1">
        <v>13661</v>
      </c>
    </row>
    <row r="193" s="1" customFormat="1" spans="1:13">
      <c r="A193"/>
      <c r="B193" s="1">
        <v>10785</v>
      </c>
      <c r="C193" s="1">
        <v>13773</v>
      </c>
      <c r="D193" s="1">
        <v>24188</v>
      </c>
      <c r="E193" s="1">
        <v>37953</v>
      </c>
      <c r="F193" s="1">
        <v>39148</v>
      </c>
      <c r="G193" s="1">
        <v>43257</v>
      </c>
      <c r="H193" s="1">
        <v>18683</v>
      </c>
      <c r="I193" s="5">
        <v>40058</v>
      </c>
      <c r="J193" s="1">
        <v>44716</v>
      </c>
      <c r="K193" s="1">
        <v>44694</v>
      </c>
      <c r="L193" s="1">
        <v>15542</v>
      </c>
    </row>
    <row r="194" s="1" customFormat="1" spans="1:13">
      <c r="A194"/>
      <c r="B194" s="1">
        <v>9866</v>
      </c>
      <c r="C194" s="1">
        <v>13192</v>
      </c>
      <c r="D194" s="1">
        <v>24870</v>
      </c>
      <c r="E194" s="1">
        <v>36703</v>
      </c>
      <c r="F194" s="1">
        <v>37919</v>
      </c>
      <c r="G194" s="1">
        <v>43843</v>
      </c>
      <c r="H194" s="1">
        <v>17365</v>
      </c>
      <c r="I194" s="5">
        <v>40545</v>
      </c>
      <c r="J194" s="1">
        <v>43552</v>
      </c>
      <c r="K194" s="1">
        <v>41984</v>
      </c>
      <c r="L194" s="1">
        <v>14332</v>
      </c>
    </row>
    <row r="195" s="1" customFormat="1" spans="1:13">
      <c r="A195"/>
      <c r="B195" s="1">
        <v>9592</v>
      </c>
      <c r="C195" s="1">
        <v>12185</v>
      </c>
      <c r="D195" s="1">
        <v>23122</v>
      </c>
      <c r="E195" s="1">
        <v>34204</v>
      </c>
      <c r="F195" s="1">
        <v>35750</v>
      </c>
      <c r="G195" s="1">
        <v>42167</v>
      </c>
      <c r="H195" s="1">
        <v>16992</v>
      </c>
      <c r="I195" s="5">
        <v>39228</v>
      </c>
      <c r="J195" s="1">
        <v>41670</v>
      </c>
      <c r="K195" s="1">
        <v>40826</v>
      </c>
      <c r="L195" s="1">
        <v>13914</v>
      </c>
    </row>
    <row r="196" s="1" customFormat="1" spans="1:13">
      <c r="A196"/>
      <c r="B196" s="1">
        <v>9708</v>
      </c>
      <c r="C196" s="1">
        <v>12456</v>
      </c>
      <c r="D196" s="1">
        <v>23520</v>
      </c>
      <c r="E196" s="1">
        <v>34830</v>
      </c>
      <c r="F196" s="1">
        <v>36303</v>
      </c>
      <c r="G196" s="1">
        <v>42639</v>
      </c>
      <c r="H196" s="1">
        <v>17175</v>
      </c>
      <c r="I196" s="5">
        <v>39661</v>
      </c>
      <c r="J196" s="1">
        <v>42283</v>
      </c>
      <c r="K196" s="1">
        <v>41025</v>
      </c>
      <c r="L196" s="1">
        <v>14047</v>
      </c>
    </row>
    <row r="197" s="1" customFormat="1" spans="1:13">
      <c r="A197"/>
      <c r="B197" s="1">
        <v>8966</v>
      </c>
      <c r="C197" s="1">
        <v>12812</v>
      </c>
      <c r="D197" s="1">
        <v>25342</v>
      </c>
      <c r="E197" s="1">
        <v>35646</v>
      </c>
      <c r="F197" s="1">
        <v>36980</v>
      </c>
      <c r="G197" s="1">
        <v>44643</v>
      </c>
      <c r="H197" s="1">
        <v>16076</v>
      </c>
      <c r="I197" s="5">
        <v>41453</v>
      </c>
      <c r="J197" s="1">
        <v>43012</v>
      </c>
      <c r="K197" s="1">
        <v>38871</v>
      </c>
      <c r="L197" s="1">
        <v>13081</v>
      </c>
    </row>
    <row r="198" s="1" customFormat="1" spans="1:13">
      <c r="A198"/>
      <c r="B198" s="1">
        <v>9499</v>
      </c>
      <c r="C198" s="1">
        <v>12142</v>
      </c>
      <c r="D198" s="1">
        <v>23450</v>
      </c>
      <c r="E198" s="1">
        <v>34148</v>
      </c>
      <c r="F198" s="1">
        <v>35697</v>
      </c>
      <c r="G198" s="1">
        <v>42539</v>
      </c>
      <c r="H198" s="1">
        <v>16871</v>
      </c>
      <c r="I198" s="5">
        <v>39569</v>
      </c>
      <c r="J198" s="1">
        <v>41691</v>
      </c>
      <c r="K198" s="1">
        <v>40496</v>
      </c>
      <c r="L198" s="1">
        <v>13786</v>
      </c>
    </row>
    <row r="199" s="1" customFormat="1" spans="1:13">
      <c r="A199"/>
      <c r="B199" s="1">
        <v>9485</v>
      </c>
      <c r="C199" s="1">
        <v>12592</v>
      </c>
      <c r="D199" s="1">
        <v>25347</v>
      </c>
      <c r="E199" s="1">
        <v>35184</v>
      </c>
      <c r="F199" s="1">
        <v>36665</v>
      </c>
      <c r="G199" s="1">
        <v>44792</v>
      </c>
      <c r="H199" s="1">
        <v>16873</v>
      </c>
      <c r="I199" s="5">
        <v>41567</v>
      </c>
      <c r="J199" s="1">
        <v>42743</v>
      </c>
      <c r="K199" s="1">
        <v>40312</v>
      </c>
      <c r="L199" s="1">
        <v>13741</v>
      </c>
    </row>
    <row r="200" s="1" customFormat="1" spans="1:13">
      <c r="A200"/>
      <c r="B200" s="1">
        <v>9625</v>
      </c>
      <c r="C200" s="1">
        <v>12359</v>
      </c>
      <c r="D200" s="1">
        <v>24711</v>
      </c>
      <c r="E200" s="1">
        <v>34684</v>
      </c>
      <c r="F200" s="1">
        <v>36159</v>
      </c>
      <c r="G200" s="1">
        <v>43920</v>
      </c>
      <c r="H200" s="1">
        <v>17054</v>
      </c>
      <c r="I200" s="5">
        <v>40770</v>
      </c>
      <c r="J200" s="1">
        <v>42133</v>
      </c>
      <c r="K200" s="1">
        <v>40837</v>
      </c>
      <c r="L200" s="1">
        <v>13942</v>
      </c>
    </row>
    <row r="201" s="1" customFormat="1" spans="1:13">
      <c r="A201"/>
      <c r="B201" s="1">
        <v>9089</v>
      </c>
      <c r="C201" s="1">
        <v>11639</v>
      </c>
      <c r="D201" s="1">
        <v>21267</v>
      </c>
      <c r="E201" s="1">
        <v>32914</v>
      </c>
      <c r="F201" s="1">
        <v>34666</v>
      </c>
      <c r="G201" s="1">
        <v>39967</v>
      </c>
      <c r="H201" s="1">
        <v>16230</v>
      </c>
      <c r="I201" s="5">
        <v>37245</v>
      </c>
      <c r="J201" s="1">
        <v>40548</v>
      </c>
      <c r="K201" s="1">
        <v>39630</v>
      </c>
      <c r="L201" s="1">
        <v>13300</v>
      </c>
    </row>
    <row r="202" s="1" customFormat="1" spans="1:13">
      <c r="A202"/>
      <c r="B202" s="1">
        <v>9318</v>
      </c>
      <c r="C202" s="1">
        <v>11811</v>
      </c>
      <c r="D202" s="1">
        <v>21626</v>
      </c>
      <c r="E202" s="1">
        <v>33335</v>
      </c>
      <c r="F202" s="1">
        <v>35006</v>
      </c>
      <c r="G202" s="1">
        <v>40456</v>
      </c>
      <c r="H202" s="1">
        <v>16592</v>
      </c>
      <c r="I202" s="5">
        <v>37715</v>
      </c>
      <c r="J202" s="1">
        <v>40945</v>
      </c>
      <c r="K202" s="1">
        <v>40045</v>
      </c>
      <c r="L202" s="1">
        <v>13553</v>
      </c>
    </row>
    <row r="203" s="1" customFormat="1" spans="1:13">
      <c r="A203"/>
      <c r="B203" s="1">
        <v>8766</v>
      </c>
      <c r="C203" s="1">
        <v>11900</v>
      </c>
      <c r="D203" s="1">
        <v>21635</v>
      </c>
      <c r="E203" s="1">
        <v>33480</v>
      </c>
      <c r="F203" s="1">
        <v>35146</v>
      </c>
      <c r="G203" s="1">
        <v>40457</v>
      </c>
      <c r="H203" s="1">
        <v>15779</v>
      </c>
      <c r="I203" s="5">
        <v>37714</v>
      </c>
      <c r="J203" s="1">
        <v>41145</v>
      </c>
      <c r="K203" s="1">
        <v>38279</v>
      </c>
      <c r="L203" s="1">
        <v>12802</v>
      </c>
    </row>
    <row r="204" s="1" customFormat="1" spans="1:13">
      <c r="A204"/>
      <c r="B204" s="1">
        <v>10177</v>
      </c>
      <c r="C204" s="1">
        <v>12888</v>
      </c>
      <c r="D204" s="1">
        <v>25164</v>
      </c>
      <c r="E204" s="1">
        <v>35764</v>
      </c>
      <c r="F204" s="1">
        <v>37227</v>
      </c>
      <c r="G204" s="1">
        <v>44635</v>
      </c>
      <c r="H204" s="1">
        <v>17887</v>
      </c>
      <c r="I204" s="5">
        <v>41423</v>
      </c>
      <c r="J204" s="1">
        <v>43303</v>
      </c>
      <c r="K204" s="1">
        <v>42419</v>
      </c>
      <c r="L204" s="1">
        <v>14663</v>
      </c>
    </row>
    <row r="205" s="1" customFormat="1" spans="1:13">
      <c r="A205"/>
      <c r="B205" s="1">
        <v>10100</v>
      </c>
      <c r="C205" s="1">
        <v>12928</v>
      </c>
      <c r="D205" s="1">
        <v>24556</v>
      </c>
      <c r="E205" s="1">
        <v>36033</v>
      </c>
      <c r="F205" s="1">
        <v>37389</v>
      </c>
      <c r="G205" s="1">
        <v>43677</v>
      </c>
      <c r="H205" s="1">
        <v>17717</v>
      </c>
      <c r="I205" s="5">
        <v>40458</v>
      </c>
      <c r="J205" s="1">
        <v>43197</v>
      </c>
      <c r="K205" s="1">
        <v>42645</v>
      </c>
      <c r="L205" s="1">
        <v>14627</v>
      </c>
    </row>
    <row r="206" s="1" customFormat="1" spans="1:13">
      <c r="A206"/>
      <c r="B206" s="1">
        <v>10064</v>
      </c>
      <c r="C206" s="1">
        <v>12884</v>
      </c>
      <c r="D206" s="1">
        <v>24567</v>
      </c>
      <c r="E206" s="1">
        <v>35989</v>
      </c>
      <c r="F206" s="1">
        <v>37231</v>
      </c>
      <c r="G206" s="1">
        <v>43598</v>
      </c>
      <c r="H206" s="1">
        <v>17672</v>
      </c>
      <c r="I206" s="5">
        <v>40434</v>
      </c>
      <c r="J206" s="1">
        <v>43071</v>
      </c>
      <c r="K206" s="1">
        <v>42347</v>
      </c>
      <c r="L206" s="1">
        <v>14558</v>
      </c>
      <c r="M206" s="1">
        <f>AVERAGE(I189:I206)</f>
        <v>39776.6111111111</v>
      </c>
    </row>
    <row r="207" s="4" customFormat="1" spans="1:13">
      <c r="A207"/>
    </row>
    <row r="208" spans="1:13">
      <c r="A208" s="18"/>
    </row>
    <row r="210" s="1" customFormat="1" spans="1:12">
      <c r="A210" s="17" t="s">
        <v>21</v>
      </c>
      <c r="B210" s="1">
        <v>9683</v>
      </c>
      <c r="C210" s="1">
        <v>12329</v>
      </c>
      <c r="D210" s="1">
        <v>23064</v>
      </c>
      <c r="E210" s="1">
        <v>34400</v>
      </c>
      <c r="F210" s="1">
        <v>36083</v>
      </c>
      <c r="G210" s="1">
        <v>42187</v>
      </c>
      <c r="H210" s="1">
        <v>17118</v>
      </c>
      <c r="I210" s="5">
        <v>39215</v>
      </c>
      <c r="J210" s="1">
        <v>42042</v>
      </c>
      <c r="K210" s="1">
        <v>41162</v>
      </c>
      <c r="L210" s="1">
        <v>14040</v>
      </c>
    </row>
    <row r="211" s="1" customFormat="1" spans="1:12">
      <c r="A211"/>
      <c r="B211" s="1">
        <v>9894</v>
      </c>
      <c r="C211" s="1">
        <v>14361</v>
      </c>
      <c r="D211" s="1">
        <v>24750</v>
      </c>
      <c r="E211" s="1">
        <v>39170</v>
      </c>
      <c r="F211" s="1">
        <v>40162</v>
      </c>
      <c r="G211" s="1">
        <v>43940</v>
      </c>
      <c r="H211" s="1">
        <v>17448</v>
      </c>
      <c r="I211" s="5">
        <v>40769</v>
      </c>
      <c r="J211" s="1">
        <v>46083</v>
      </c>
      <c r="K211" s="1">
        <v>41594</v>
      </c>
      <c r="L211" s="1">
        <v>14282</v>
      </c>
    </row>
    <row r="212" s="1" customFormat="1" spans="1:12">
      <c r="A212"/>
      <c r="B212" s="1">
        <v>8450</v>
      </c>
      <c r="C212" s="1">
        <v>10714</v>
      </c>
      <c r="D212" s="1">
        <v>19595</v>
      </c>
      <c r="E212" s="1">
        <v>30825</v>
      </c>
      <c r="F212" s="1">
        <v>32743</v>
      </c>
      <c r="G212" s="1">
        <v>38105</v>
      </c>
      <c r="H212" s="1">
        <v>15290</v>
      </c>
      <c r="I212" s="5">
        <v>35628</v>
      </c>
      <c r="J212" s="1">
        <v>38602</v>
      </c>
      <c r="K212" s="1">
        <v>37793</v>
      </c>
      <c r="L212" s="1">
        <v>12460</v>
      </c>
    </row>
    <row r="213" s="1" customFormat="1" spans="1:12">
      <c r="A213"/>
      <c r="B213" s="1">
        <v>9178</v>
      </c>
      <c r="C213" s="1">
        <v>12018</v>
      </c>
      <c r="D213" s="1">
        <v>21387</v>
      </c>
      <c r="E213" s="1">
        <v>33895</v>
      </c>
      <c r="F213" s="1">
        <v>35466</v>
      </c>
      <c r="G213" s="1">
        <v>40151</v>
      </c>
      <c r="H213" s="1">
        <v>16379</v>
      </c>
      <c r="I213" s="5">
        <v>37422</v>
      </c>
      <c r="J213" s="1">
        <v>41301</v>
      </c>
      <c r="K213" s="1">
        <v>39769</v>
      </c>
      <c r="L213" s="1">
        <v>13390</v>
      </c>
    </row>
    <row r="214" s="1" customFormat="1" spans="1:12">
      <c r="A214"/>
      <c r="B214" s="1">
        <v>9192</v>
      </c>
      <c r="C214" s="1">
        <v>12087</v>
      </c>
      <c r="D214" s="1">
        <v>21272</v>
      </c>
      <c r="E214" s="1">
        <v>34084</v>
      </c>
      <c r="F214" s="1">
        <v>35601</v>
      </c>
      <c r="G214" s="1">
        <v>39976</v>
      </c>
      <c r="H214" s="1">
        <v>16392</v>
      </c>
      <c r="I214" s="5">
        <v>37269</v>
      </c>
      <c r="J214" s="1">
        <v>41383</v>
      </c>
      <c r="K214" s="1">
        <v>39934</v>
      </c>
      <c r="L214" s="1">
        <v>13429</v>
      </c>
    </row>
    <row r="215" s="1" customFormat="1" spans="1:12">
      <c r="A215"/>
      <c r="B215" s="1">
        <v>9540</v>
      </c>
      <c r="C215" s="1">
        <v>12148</v>
      </c>
      <c r="D215" s="1">
        <v>23018</v>
      </c>
      <c r="E215" s="1">
        <v>34178</v>
      </c>
      <c r="F215" s="1">
        <v>35709</v>
      </c>
      <c r="G215" s="1">
        <v>41954</v>
      </c>
      <c r="H215" s="1">
        <v>16914</v>
      </c>
      <c r="I215" s="5">
        <v>39003</v>
      </c>
      <c r="J215" s="1">
        <v>41614</v>
      </c>
      <c r="K215" s="1">
        <v>40763</v>
      </c>
      <c r="L215" s="1">
        <v>13859</v>
      </c>
    </row>
    <row r="216" s="1" customFormat="1" spans="1:12">
      <c r="A216"/>
      <c r="B216" s="1">
        <v>10675</v>
      </c>
      <c r="C216" s="1">
        <v>13221</v>
      </c>
      <c r="D216" s="1">
        <v>22818</v>
      </c>
      <c r="E216" s="1">
        <v>36698</v>
      </c>
      <c r="F216" s="1">
        <v>37856</v>
      </c>
      <c r="G216" s="1">
        <v>41712</v>
      </c>
      <c r="H216" s="1">
        <v>18609</v>
      </c>
      <c r="I216" s="5">
        <v>38802</v>
      </c>
      <c r="J216" s="1">
        <v>43741</v>
      </c>
      <c r="K216" s="1">
        <v>43642</v>
      </c>
      <c r="L216" s="1">
        <v>15271</v>
      </c>
    </row>
    <row r="217" s="1" customFormat="1" spans="1:12">
      <c r="A217"/>
      <c r="B217" s="1">
        <v>10377</v>
      </c>
      <c r="C217" s="1">
        <v>13603</v>
      </c>
      <c r="D217" s="1">
        <v>26201</v>
      </c>
      <c r="E217" s="1">
        <v>37638</v>
      </c>
      <c r="F217" s="1">
        <v>38586</v>
      </c>
      <c r="G217" s="1">
        <v>45389</v>
      </c>
      <c r="H217" s="1">
        <v>18163</v>
      </c>
      <c r="I217" s="5">
        <v>42049</v>
      </c>
      <c r="J217" s="1">
        <v>44478</v>
      </c>
      <c r="K217" s="1">
        <v>42821</v>
      </c>
      <c r="L217" s="1">
        <v>14890</v>
      </c>
    </row>
    <row r="218" s="1" customFormat="1" spans="1:12">
      <c r="A218"/>
      <c r="B218" s="1">
        <v>9141</v>
      </c>
      <c r="C218" s="1">
        <v>11847</v>
      </c>
      <c r="D218" s="1">
        <v>22071</v>
      </c>
      <c r="E218" s="1">
        <v>33404</v>
      </c>
      <c r="F218" s="1">
        <v>35084</v>
      </c>
      <c r="G218" s="1">
        <v>40991</v>
      </c>
      <c r="H218" s="1">
        <v>16337</v>
      </c>
      <c r="I218" s="5">
        <v>38181</v>
      </c>
      <c r="J218" s="1">
        <v>41056</v>
      </c>
      <c r="K218" s="1">
        <v>39603</v>
      </c>
      <c r="L218" s="1">
        <v>13332</v>
      </c>
    </row>
    <row r="219" s="1" customFormat="1" spans="1:12">
      <c r="A219"/>
      <c r="B219" s="1">
        <v>9737</v>
      </c>
      <c r="C219" s="1">
        <v>12837</v>
      </c>
      <c r="D219" s="1">
        <v>23627</v>
      </c>
      <c r="E219" s="1">
        <v>35828</v>
      </c>
      <c r="F219" s="1">
        <v>37112</v>
      </c>
      <c r="G219" s="1">
        <v>42639</v>
      </c>
      <c r="H219" s="1">
        <v>17219</v>
      </c>
      <c r="I219" s="5">
        <v>39623</v>
      </c>
      <c r="J219" s="1">
        <v>43027</v>
      </c>
      <c r="K219" s="1">
        <v>41359</v>
      </c>
      <c r="L219" s="1">
        <v>14115</v>
      </c>
    </row>
    <row r="220" s="1" customFormat="1" spans="1:12">
      <c r="A220"/>
      <c r="B220" s="1">
        <v>9570</v>
      </c>
      <c r="C220" s="1">
        <v>12207</v>
      </c>
      <c r="D220" s="1">
        <v>20461</v>
      </c>
      <c r="E220" s="1">
        <v>34387</v>
      </c>
      <c r="F220" s="1">
        <v>35813</v>
      </c>
      <c r="G220" s="1">
        <v>39179</v>
      </c>
      <c r="H220" s="1">
        <v>16992</v>
      </c>
      <c r="I220" s="5">
        <v>36608</v>
      </c>
      <c r="J220" s="1">
        <v>41742</v>
      </c>
      <c r="K220" s="1">
        <v>40599</v>
      </c>
      <c r="L220" s="1">
        <v>13848</v>
      </c>
    </row>
    <row r="221" s="1" customFormat="1" spans="1:12">
      <c r="A221"/>
      <c r="B221" s="1">
        <v>9042</v>
      </c>
      <c r="C221" s="1">
        <v>11130</v>
      </c>
      <c r="D221" s="1">
        <v>22541</v>
      </c>
      <c r="E221" s="1">
        <v>31770</v>
      </c>
      <c r="F221" s="1">
        <v>33603</v>
      </c>
      <c r="G221" s="1">
        <v>41562</v>
      </c>
      <c r="H221" s="1">
        <v>16198</v>
      </c>
      <c r="I221" s="5">
        <v>38725</v>
      </c>
      <c r="J221" s="1">
        <v>39563</v>
      </c>
      <c r="K221" s="1">
        <v>39471</v>
      </c>
      <c r="L221" s="1">
        <v>13226</v>
      </c>
    </row>
    <row r="222" s="1" customFormat="1" spans="1:12">
      <c r="A222"/>
      <c r="B222" s="1">
        <v>9791</v>
      </c>
      <c r="C222" s="1">
        <v>12914</v>
      </c>
      <c r="D222" s="1">
        <v>23572</v>
      </c>
      <c r="E222" s="1">
        <v>36014</v>
      </c>
      <c r="F222" s="1">
        <v>37310</v>
      </c>
      <c r="G222" s="1">
        <v>42480</v>
      </c>
      <c r="H222" s="1">
        <v>17298</v>
      </c>
      <c r="I222" s="5">
        <v>39418</v>
      </c>
      <c r="J222" s="1">
        <v>43151</v>
      </c>
      <c r="K222" s="1">
        <v>41534</v>
      </c>
      <c r="L222" s="1">
        <v>14185</v>
      </c>
    </row>
    <row r="223" s="1" customFormat="1" spans="1:12">
      <c r="A223"/>
      <c r="B223" s="1">
        <v>9572</v>
      </c>
      <c r="C223" s="1">
        <v>12403</v>
      </c>
      <c r="D223" s="1">
        <v>23986</v>
      </c>
      <c r="E223" s="1">
        <v>34890</v>
      </c>
      <c r="F223" s="1">
        <v>36261</v>
      </c>
      <c r="G223" s="1">
        <v>42763</v>
      </c>
      <c r="H223" s="1">
        <v>16961</v>
      </c>
      <c r="I223" s="5">
        <v>39606</v>
      </c>
      <c r="J223" s="1">
        <v>41972</v>
      </c>
      <c r="K223" s="1">
        <v>41034</v>
      </c>
      <c r="L223" s="1">
        <v>13918</v>
      </c>
    </row>
    <row r="224" s="1" customFormat="1" spans="1:12">
      <c r="A224"/>
      <c r="B224" s="1">
        <v>9921</v>
      </c>
      <c r="C224" s="1">
        <v>12751</v>
      </c>
      <c r="D224" s="1">
        <v>23593</v>
      </c>
      <c r="E224" s="1">
        <v>35703</v>
      </c>
      <c r="F224" s="1">
        <v>36946</v>
      </c>
      <c r="G224" s="1">
        <v>42270</v>
      </c>
      <c r="H224" s="1">
        <v>17448</v>
      </c>
      <c r="I224" s="5">
        <v>39160</v>
      </c>
      <c r="J224" s="1">
        <v>42616</v>
      </c>
      <c r="K224" s="1">
        <v>42024</v>
      </c>
      <c r="L224" s="1">
        <v>14377</v>
      </c>
    </row>
    <row r="225" s="1" customFormat="1" spans="1:13">
      <c r="A225"/>
      <c r="B225" s="1">
        <v>9056</v>
      </c>
      <c r="C225" s="1">
        <v>11632</v>
      </c>
      <c r="D225" s="1">
        <v>22225</v>
      </c>
      <c r="E225" s="1">
        <v>33038</v>
      </c>
      <c r="F225" s="1">
        <v>34686</v>
      </c>
      <c r="G225" s="1">
        <v>40945</v>
      </c>
      <c r="H225" s="1">
        <v>16208</v>
      </c>
      <c r="I225" s="5">
        <v>38062</v>
      </c>
      <c r="J225" s="1">
        <v>40509</v>
      </c>
      <c r="K225" s="1">
        <v>39504</v>
      </c>
      <c r="L225" s="1">
        <v>13247</v>
      </c>
    </row>
    <row r="226" s="1" customFormat="1" spans="1:13">
      <c r="A226"/>
      <c r="B226" s="1">
        <v>9938</v>
      </c>
      <c r="C226" s="1">
        <v>12167</v>
      </c>
      <c r="D226" s="1">
        <v>23262</v>
      </c>
      <c r="E226" s="1">
        <v>34433</v>
      </c>
      <c r="F226" s="1">
        <v>35798</v>
      </c>
      <c r="G226" s="1">
        <v>41934</v>
      </c>
      <c r="H226" s="1">
        <v>17485</v>
      </c>
      <c r="I226" s="5">
        <v>38886</v>
      </c>
      <c r="J226" s="1">
        <v>41469</v>
      </c>
      <c r="K226" s="1">
        <v>41997</v>
      </c>
      <c r="L226" s="1">
        <v>14384</v>
      </c>
    </row>
    <row r="227" s="1" customFormat="1" spans="1:13">
      <c r="A227"/>
      <c r="B227" s="1">
        <v>9276</v>
      </c>
      <c r="C227" s="1">
        <v>12047</v>
      </c>
      <c r="D227" s="1">
        <v>21572</v>
      </c>
      <c r="E227" s="1">
        <v>34160</v>
      </c>
      <c r="F227" s="1">
        <v>35549</v>
      </c>
      <c r="G227" s="1">
        <v>40195</v>
      </c>
      <c r="H227" s="1">
        <v>16528</v>
      </c>
      <c r="I227" s="5">
        <v>37414</v>
      </c>
      <c r="J227" s="1">
        <v>41232</v>
      </c>
      <c r="K227" s="1">
        <v>40091</v>
      </c>
      <c r="L227" s="1">
        <v>13520</v>
      </c>
      <c r="M227" s="1">
        <f>AVERAGE(I210:I227)</f>
        <v>38657.7777777778</v>
      </c>
    </row>
    <row r="228" s="4" customFormat="1" spans="1:13">
      <c r="A228"/>
    </row>
    <row r="229" s="1" customFormat="1" spans="1:13">
      <c r="A229" s="18"/>
      <c r="B229" s="1">
        <v>9823</v>
      </c>
      <c r="C229" s="1">
        <v>12413</v>
      </c>
      <c r="D229" s="1">
        <v>22928</v>
      </c>
      <c r="E229" s="1">
        <v>34791</v>
      </c>
      <c r="F229" s="1">
        <v>36234</v>
      </c>
      <c r="G229" s="1">
        <v>41835</v>
      </c>
      <c r="H229" s="1">
        <v>17334</v>
      </c>
      <c r="I229" s="5">
        <v>38889</v>
      </c>
      <c r="J229" s="1">
        <v>42090</v>
      </c>
      <c r="K229" s="1">
        <v>41470</v>
      </c>
      <c r="L229" s="1">
        <v>14208</v>
      </c>
    </row>
    <row r="230" s="1" customFormat="1" spans="1:13">
      <c r="A230"/>
      <c r="B230" s="1">
        <v>9511</v>
      </c>
      <c r="C230" s="1">
        <v>12748</v>
      </c>
      <c r="D230" s="1">
        <v>23401</v>
      </c>
      <c r="E230" s="1">
        <v>35685</v>
      </c>
      <c r="F230" s="1">
        <v>36955</v>
      </c>
      <c r="G230" s="1">
        <v>42291</v>
      </c>
      <c r="H230" s="1">
        <v>16902</v>
      </c>
      <c r="I230" s="5">
        <v>39275</v>
      </c>
      <c r="J230" s="1">
        <v>42815</v>
      </c>
      <c r="K230" s="1">
        <v>40630</v>
      </c>
      <c r="L230" s="1">
        <v>13807</v>
      </c>
    </row>
    <row r="231" s="1" customFormat="1" spans="1:13">
      <c r="A231" s="17" t="s">
        <v>22</v>
      </c>
      <c r="B231" s="1">
        <v>8713</v>
      </c>
      <c r="C231" s="1">
        <v>11442</v>
      </c>
      <c r="D231" s="1">
        <v>21311</v>
      </c>
      <c r="E231" s="1">
        <v>32623</v>
      </c>
      <c r="F231" s="1">
        <v>34294</v>
      </c>
      <c r="G231" s="1">
        <v>39981</v>
      </c>
      <c r="H231" s="1">
        <v>15730</v>
      </c>
      <c r="I231" s="5">
        <v>37249</v>
      </c>
      <c r="J231" s="1">
        <v>40195</v>
      </c>
      <c r="K231" s="1">
        <v>38381</v>
      </c>
      <c r="L231" s="1">
        <v>12772</v>
      </c>
    </row>
    <row r="232" s="1" customFormat="1" spans="1:13">
      <c r="A232"/>
      <c r="B232" s="1">
        <v>9321</v>
      </c>
      <c r="C232" s="1">
        <v>12037</v>
      </c>
      <c r="D232" s="1">
        <v>22071</v>
      </c>
      <c r="E232" s="1">
        <v>34016</v>
      </c>
      <c r="F232" s="1">
        <v>35525</v>
      </c>
      <c r="G232" s="1">
        <v>40911</v>
      </c>
      <c r="H232" s="1">
        <v>16598</v>
      </c>
      <c r="I232" s="5">
        <v>38095</v>
      </c>
      <c r="J232" s="1">
        <v>41305</v>
      </c>
      <c r="K232" s="1">
        <v>40271</v>
      </c>
      <c r="L232" s="1">
        <v>13593</v>
      </c>
    </row>
    <row r="233" s="1" customFormat="1" spans="1:13">
      <c r="A233"/>
      <c r="B233" s="1">
        <v>9823</v>
      </c>
      <c r="C233" s="1">
        <v>12928</v>
      </c>
      <c r="D233" s="1">
        <v>23089</v>
      </c>
      <c r="E233" s="1">
        <v>36225</v>
      </c>
      <c r="F233" s="1">
        <v>37322</v>
      </c>
      <c r="G233" s="1">
        <v>41601</v>
      </c>
      <c r="H233" s="1">
        <v>17278</v>
      </c>
      <c r="I233" s="5">
        <v>38560</v>
      </c>
      <c r="J233" s="1">
        <v>42853</v>
      </c>
      <c r="K233" s="1">
        <v>41886</v>
      </c>
      <c r="L233" s="1">
        <v>14274</v>
      </c>
    </row>
    <row r="234" s="1" customFormat="1" spans="1:13">
      <c r="A234"/>
      <c r="B234" s="1">
        <v>9344</v>
      </c>
      <c r="C234" s="1">
        <v>11576</v>
      </c>
      <c r="D234" s="1">
        <v>19329</v>
      </c>
      <c r="E234" s="1">
        <v>33012</v>
      </c>
      <c r="F234" s="1">
        <v>34552</v>
      </c>
      <c r="G234" s="1">
        <v>37808</v>
      </c>
      <c r="H234" s="1">
        <v>16600</v>
      </c>
      <c r="I234" s="5">
        <v>35356</v>
      </c>
      <c r="J234" s="1">
        <v>40240</v>
      </c>
      <c r="K234" s="1">
        <v>40434</v>
      </c>
      <c r="L234" s="1">
        <v>13629</v>
      </c>
    </row>
    <row r="235" s="1" customFormat="1" spans="1:13">
      <c r="A235"/>
      <c r="B235" s="1">
        <v>9731</v>
      </c>
      <c r="C235" s="1">
        <v>12725</v>
      </c>
      <c r="D235" s="1">
        <v>23905</v>
      </c>
      <c r="E235" s="1">
        <v>35760</v>
      </c>
      <c r="F235" s="1">
        <v>36926</v>
      </c>
      <c r="G235" s="1">
        <v>42617</v>
      </c>
      <c r="H235" s="1">
        <v>17192</v>
      </c>
      <c r="I235" s="5">
        <v>39468</v>
      </c>
      <c r="J235" s="1">
        <v>42502</v>
      </c>
      <c r="K235" s="1">
        <v>41450</v>
      </c>
      <c r="L235" s="1">
        <v>14114</v>
      </c>
    </row>
    <row r="236" s="1" customFormat="1" spans="1:13">
      <c r="A236"/>
      <c r="B236" s="1">
        <v>8518</v>
      </c>
      <c r="C236" s="1">
        <v>10901</v>
      </c>
      <c r="D236" s="1">
        <v>21674</v>
      </c>
      <c r="E236" s="1">
        <v>31300</v>
      </c>
      <c r="F236" s="1">
        <v>33186</v>
      </c>
      <c r="G236" s="1">
        <v>40558</v>
      </c>
      <c r="H236" s="1">
        <v>15400</v>
      </c>
      <c r="I236" s="5">
        <v>37786</v>
      </c>
      <c r="J236" s="1">
        <v>39009</v>
      </c>
      <c r="K236" s="1">
        <v>38086</v>
      </c>
      <c r="L236" s="1">
        <v>12564</v>
      </c>
    </row>
    <row r="237" s="1" customFormat="1" spans="1:13">
      <c r="A237"/>
      <c r="B237" s="1">
        <v>8366</v>
      </c>
      <c r="C237" s="1">
        <v>10962</v>
      </c>
      <c r="D237" s="1">
        <v>20372</v>
      </c>
      <c r="E237" s="1">
        <v>31458</v>
      </c>
      <c r="F237" s="1">
        <v>33296</v>
      </c>
      <c r="G237" s="1">
        <v>38838</v>
      </c>
      <c r="H237" s="1">
        <v>15164</v>
      </c>
      <c r="I237" s="5">
        <v>36198</v>
      </c>
      <c r="J237" s="1">
        <v>39047</v>
      </c>
      <c r="K237" s="1">
        <v>37645</v>
      </c>
      <c r="L237" s="1">
        <v>12364</v>
      </c>
    </row>
    <row r="238" s="1" customFormat="1" spans="1:13">
      <c r="A238"/>
      <c r="B238" s="1">
        <v>8839</v>
      </c>
      <c r="C238" s="1">
        <v>11544</v>
      </c>
      <c r="D238" s="1">
        <v>22157</v>
      </c>
      <c r="E238" s="1">
        <v>32900</v>
      </c>
      <c r="F238" s="1">
        <v>34489</v>
      </c>
      <c r="G238" s="1">
        <v>40778</v>
      </c>
      <c r="H238" s="1">
        <v>15886</v>
      </c>
      <c r="I238" s="5">
        <v>37918</v>
      </c>
      <c r="J238" s="1">
        <v>40296</v>
      </c>
      <c r="K238" s="1">
        <v>38812</v>
      </c>
      <c r="L238" s="1">
        <v>12950</v>
      </c>
    </row>
    <row r="239" s="1" customFormat="1" spans="1:13">
      <c r="A239"/>
      <c r="B239" s="1">
        <v>7524</v>
      </c>
      <c r="C239" s="1">
        <v>9874</v>
      </c>
      <c r="D239" s="1">
        <v>18447</v>
      </c>
      <c r="E239" s="1">
        <v>28817</v>
      </c>
      <c r="F239" s="1">
        <v>30955</v>
      </c>
      <c r="G239" s="1">
        <v>36672</v>
      </c>
      <c r="H239" s="1">
        <v>13908</v>
      </c>
      <c r="I239" s="5">
        <v>34320</v>
      </c>
      <c r="J239" s="1">
        <v>36775</v>
      </c>
      <c r="K239" s="1">
        <v>35040</v>
      </c>
      <c r="L239" s="1">
        <v>11241</v>
      </c>
    </row>
    <row r="240" s="1" customFormat="1" spans="1:13">
      <c r="A240"/>
      <c r="B240" s="1">
        <v>8949</v>
      </c>
      <c r="C240" s="1">
        <v>11654</v>
      </c>
      <c r="D240" s="1">
        <v>21785</v>
      </c>
      <c r="E240" s="1">
        <v>33172</v>
      </c>
      <c r="F240" s="1">
        <v>34699</v>
      </c>
      <c r="G240" s="1">
        <v>40414</v>
      </c>
      <c r="H240" s="1">
        <v>16035</v>
      </c>
      <c r="I240" s="5">
        <v>37593</v>
      </c>
      <c r="J240" s="1">
        <v>40414</v>
      </c>
      <c r="K240" s="1">
        <v>39181</v>
      </c>
      <c r="L240" s="1">
        <v>13100</v>
      </c>
    </row>
    <row r="241" s="1" customFormat="1" spans="1:13">
      <c r="A241"/>
      <c r="B241" s="1">
        <v>8320</v>
      </c>
      <c r="C241" s="1">
        <v>10650</v>
      </c>
      <c r="D241" s="1">
        <v>19746</v>
      </c>
      <c r="E241" s="1">
        <v>30747</v>
      </c>
      <c r="F241" s="1">
        <v>32635</v>
      </c>
      <c r="G241" s="1">
        <v>38144</v>
      </c>
      <c r="H241" s="1">
        <v>15097</v>
      </c>
      <c r="I241" s="5">
        <v>35597</v>
      </c>
      <c r="J241" s="1">
        <v>38418</v>
      </c>
      <c r="K241" s="1">
        <v>37401</v>
      </c>
      <c r="L241" s="1">
        <v>12288</v>
      </c>
    </row>
    <row r="242" s="1" customFormat="1" spans="1:13">
      <c r="A242"/>
      <c r="B242" s="1">
        <v>10058</v>
      </c>
      <c r="C242" s="1">
        <v>12667</v>
      </c>
      <c r="D242" s="1">
        <v>23079</v>
      </c>
      <c r="E242" s="1">
        <v>35538</v>
      </c>
      <c r="F242" s="1">
        <v>36814</v>
      </c>
      <c r="G242" s="1">
        <v>42002</v>
      </c>
      <c r="H242" s="1">
        <v>17714</v>
      </c>
      <c r="I242" s="5">
        <v>39060</v>
      </c>
      <c r="J242" s="1">
        <v>42672</v>
      </c>
      <c r="K242" s="1">
        <v>42098</v>
      </c>
      <c r="L242" s="1">
        <v>14509</v>
      </c>
    </row>
    <row r="243" s="1" customFormat="1" spans="1:13">
      <c r="A243"/>
      <c r="B243" s="1">
        <v>10835</v>
      </c>
      <c r="C243" s="1">
        <v>13458</v>
      </c>
      <c r="D243" s="1">
        <v>26195</v>
      </c>
      <c r="E243" s="1">
        <v>37206</v>
      </c>
      <c r="F243" s="1">
        <v>38397</v>
      </c>
      <c r="G243" s="1">
        <v>45550</v>
      </c>
      <c r="H243" s="1">
        <v>18821</v>
      </c>
      <c r="I243" s="5">
        <v>42139</v>
      </c>
      <c r="J243" s="1">
        <v>44218</v>
      </c>
      <c r="K243" s="1">
        <v>44263</v>
      </c>
      <c r="L243" s="1">
        <v>15516</v>
      </c>
    </row>
    <row r="244" s="1" customFormat="1" spans="1:13">
      <c r="A244"/>
      <c r="B244" s="1">
        <v>10161</v>
      </c>
      <c r="C244" s="1">
        <v>12934</v>
      </c>
      <c r="D244" s="1">
        <v>24135</v>
      </c>
      <c r="E244" s="1">
        <v>36184</v>
      </c>
      <c r="F244" s="1">
        <v>37325</v>
      </c>
      <c r="G244" s="1">
        <v>42982</v>
      </c>
      <c r="H244" s="1">
        <v>17823</v>
      </c>
      <c r="I244" s="5">
        <v>39829</v>
      </c>
      <c r="J244" s="1">
        <v>43002</v>
      </c>
      <c r="K244" s="1">
        <v>42544</v>
      </c>
      <c r="L244" s="1">
        <v>14674</v>
      </c>
    </row>
    <row r="245" s="1" customFormat="1" spans="1:13">
      <c r="A245"/>
      <c r="B245" s="1">
        <v>9853</v>
      </c>
      <c r="C245" s="1">
        <v>12597</v>
      </c>
      <c r="D245" s="1">
        <v>23978</v>
      </c>
      <c r="E245" s="1">
        <v>35265</v>
      </c>
      <c r="F245" s="1">
        <v>36731</v>
      </c>
      <c r="G245" s="1">
        <v>43042</v>
      </c>
      <c r="H245" s="1">
        <v>17353</v>
      </c>
      <c r="I245" s="5">
        <v>39906</v>
      </c>
      <c r="J245" s="1">
        <v>42470</v>
      </c>
      <c r="K245" s="1">
        <v>41949</v>
      </c>
      <c r="L245" s="1">
        <v>14316</v>
      </c>
    </row>
    <row r="246" s="1" customFormat="1" spans="1:13">
      <c r="A246"/>
      <c r="B246" s="1">
        <v>8854</v>
      </c>
      <c r="C246" s="1">
        <v>11882</v>
      </c>
      <c r="D246" s="1">
        <v>19596</v>
      </c>
      <c r="E246" s="1">
        <v>33577</v>
      </c>
      <c r="F246" s="1">
        <v>35229</v>
      </c>
      <c r="G246" s="1">
        <v>38263</v>
      </c>
      <c r="H246" s="1">
        <v>15874</v>
      </c>
      <c r="I246" s="5">
        <v>35806</v>
      </c>
      <c r="J246" s="1">
        <v>41005</v>
      </c>
      <c r="K246" s="1">
        <v>39068</v>
      </c>
      <c r="L246" s="1">
        <v>13013</v>
      </c>
      <c r="M246" s="1">
        <f>AVERAGE(I229:I246)</f>
        <v>37946.8888888889</v>
      </c>
    </row>
    <row r="251" spans="1:13">
      <c r="A251" s="1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3"/>
  <sheetViews>
    <sheetView tabSelected="1" topLeftCell="Q1" workbookViewId="0">
      <selection activeCell="X19" sqref="X19"/>
    </sheetView>
  </sheetViews>
  <sheetFormatPr defaultColWidth="9" defaultRowHeight="14.4"/>
  <cols>
    <col min="1" max="19" width="9" style="1"/>
    <col min="20" max="20" width="14.1111111111111" style="1"/>
    <col min="21" max="21" width="9" style="1"/>
    <col min="22" max="39" width="12.8888888888889" style="1"/>
    <col min="40" max="40" width="9" style="1"/>
    <col min="41" max="41" width="9" style="2"/>
    <col min="42" max="16384" width="9" style="1"/>
  </cols>
  <sheetData>
    <row r="1" s="1" customFormat="1" spans="1:4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2" t="s">
        <v>63</v>
      </c>
      <c r="AP1" s="1" t="s">
        <v>64</v>
      </c>
    </row>
    <row r="2" s="1" customFormat="1" spans="1:42">
      <c r="A2" s="1">
        <v>0.1</v>
      </c>
      <c r="B2" s="1">
        <v>50352</v>
      </c>
      <c r="C2" s="1">
        <v>49169</v>
      </c>
      <c r="D2" s="1">
        <v>48111</v>
      </c>
      <c r="E2" s="1">
        <v>48958</v>
      </c>
      <c r="F2" s="1">
        <v>50205</v>
      </c>
      <c r="G2" s="1">
        <v>48329</v>
      </c>
      <c r="H2" s="1">
        <v>47869</v>
      </c>
      <c r="I2" s="1">
        <v>47818</v>
      </c>
      <c r="J2" s="1">
        <v>46715</v>
      </c>
      <c r="K2" s="1">
        <v>49173</v>
      </c>
      <c r="L2" s="1">
        <v>47608</v>
      </c>
      <c r="M2" s="1">
        <v>47137</v>
      </c>
      <c r="N2" s="1">
        <v>49126</v>
      </c>
      <c r="O2" s="1">
        <v>49091</v>
      </c>
      <c r="P2" s="1">
        <v>50209</v>
      </c>
      <c r="Q2" s="1">
        <v>47387</v>
      </c>
      <c r="R2" s="1">
        <v>48709</v>
      </c>
      <c r="S2" s="1">
        <v>50825</v>
      </c>
      <c r="T2" s="1">
        <v>-1</v>
      </c>
      <c r="U2" s="1">
        <v>55093</v>
      </c>
      <c r="V2" s="3">
        <v>48710.6111111111</v>
      </c>
      <c r="W2" s="1">
        <v>0.0390796962500261</v>
      </c>
      <c r="X2" s="1">
        <v>0.0494050461281192</v>
      </c>
      <c r="Y2" s="1">
        <v>0.0588520378958544</v>
      </c>
      <c r="Z2" s="1">
        <v>0.0512727538316883</v>
      </c>
      <c r="AA2" s="1">
        <v>0.0403494504057128</v>
      </c>
      <c r="AB2" s="1">
        <v>0.0568886127960568</v>
      </c>
      <c r="AC2" s="1">
        <v>0.0610420668047002</v>
      </c>
      <c r="AD2" s="1">
        <v>0.0615050141366136</v>
      </c>
      <c r="AE2" s="1">
        <v>0.0716400686355021</v>
      </c>
      <c r="AF2" s="1">
        <v>0.0493697168094441</v>
      </c>
      <c r="AG2" s="1">
        <v>0.0634164845624331</v>
      </c>
      <c r="AH2" s="1">
        <v>0.0677344831070088</v>
      </c>
      <c r="AI2" s="1">
        <v>0.049785017925527</v>
      </c>
      <c r="AJ2" s="1">
        <v>0.0500945429061318</v>
      </c>
      <c r="AK2" s="1">
        <v>0.0403148500924391</v>
      </c>
      <c r="AL2" s="1">
        <v>0.0654372067827081</v>
      </c>
      <c r="AM2" s="1">
        <v>0.0534872082593069</v>
      </c>
      <c r="AN2" s="1">
        <v>0.0350190345090949</v>
      </c>
      <c r="AO2" s="3">
        <v>0.0535940717687982</v>
      </c>
      <c r="AP2" s="1">
        <v>0.010554926904995</v>
      </c>
    </row>
    <row r="3" s="1" customFormat="1" spans="1:42">
      <c r="A3" s="1">
        <v>0.5</v>
      </c>
      <c r="B3" s="1">
        <v>46606</v>
      </c>
      <c r="C3" s="1">
        <v>47129</v>
      </c>
      <c r="D3" s="1">
        <v>48253</v>
      </c>
      <c r="E3" s="1">
        <v>47616</v>
      </c>
      <c r="F3" s="1">
        <v>46594</v>
      </c>
      <c r="G3" s="1">
        <v>48650</v>
      </c>
      <c r="H3" s="1">
        <v>48153</v>
      </c>
      <c r="I3" s="1">
        <v>47909</v>
      </c>
      <c r="J3" s="1">
        <v>47667</v>
      </c>
      <c r="K3" s="1">
        <v>46673</v>
      </c>
      <c r="L3" s="1">
        <v>48165</v>
      </c>
      <c r="M3" s="1">
        <v>49458</v>
      </c>
      <c r="N3" s="1">
        <v>50017</v>
      </c>
      <c r="O3" s="1">
        <v>47582</v>
      </c>
      <c r="P3" s="1">
        <v>46944</v>
      </c>
      <c r="Q3" s="1">
        <v>46065</v>
      </c>
      <c r="R3" s="1">
        <v>47374</v>
      </c>
      <c r="S3" s="1">
        <v>49333</v>
      </c>
      <c r="T3" s="1">
        <v>-0.301029995663981</v>
      </c>
      <c r="U3" s="1">
        <v>55093</v>
      </c>
      <c r="V3" s="3">
        <v>47788.2222222222</v>
      </c>
      <c r="W3" s="1">
        <v>0.0726545909842657</v>
      </c>
      <c r="X3" s="1">
        <v>0.0678081969776211</v>
      </c>
      <c r="Y3" s="1">
        <v>0.057572102213075</v>
      </c>
      <c r="Z3" s="1">
        <v>0.0633435122894053</v>
      </c>
      <c r="AA3" s="1">
        <v>0.0727664264737859</v>
      </c>
      <c r="AB3" s="1">
        <v>0.0540135772148005</v>
      </c>
      <c r="AC3" s="1">
        <v>0.058473072355313</v>
      </c>
      <c r="AD3" s="1">
        <v>0.0606793158538324</v>
      </c>
      <c r="AE3" s="1">
        <v>0.0628786020600417</v>
      </c>
      <c r="AF3" s="1">
        <v>0.0720307048943302</v>
      </c>
      <c r="AG3" s="1">
        <v>0.0583648571969874</v>
      </c>
      <c r="AH3" s="1">
        <v>0.0468598715918248</v>
      </c>
      <c r="AI3" s="1">
        <v>0.0419787824558379</v>
      </c>
      <c r="AJ3" s="1">
        <v>0.0636537291639728</v>
      </c>
      <c r="AK3" s="1">
        <v>0.0695163296559825</v>
      </c>
      <c r="AL3" s="1">
        <v>0.077725346320421</v>
      </c>
      <c r="AM3" s="1">
        <v>0.0655563661056398</v>
      </c>
      <c r="AN3" s="1">
        <v>0.0479588955759649</v>
      </c>
      <c r="AO3" s="3">
        <v>0.0618796821879501</v>
      </c>
      <c r="AP3" s="1">
        <v>0.00977174585858917</v>
      </c>
    </row>
    <row r="4" s="1" customFormat="1" spans="1:42">
      <c r="A4" s="1">
        <v>1</v>
      </c>
      <c r="B4" s="1">
        <v>46467</v>
      </c>
      <c r="C4" s="1">
        <v>46576</v>
      </c>
      <c r="D4" s="1">
        <v>47251</v>
      </c>
      <c r="E4" s="1">
        <v>45292</v>
      </c>
      <c r="F4" s="1">
        <v>45215</v>
      </c>
      <c r="G4" s="1">
        <v>47752</v>
      </c>
      <c r="H4" s="1">
        <v>46797</v>
      </c>
      <c r="I4" s="1">
        <v>47347</v>
      </c>
      <c r="J4" s="1">
        <v>46529</v>
      </c>
      <c r="K4" s="1">
        <v>45145</v>
      </c>
      <c r="L4" s="1">
        <v>46926</v>
      </c>
      <c r="M4" s="1">
        <v>47590</v>
      </c>
      <c r="N4" s="1">
        <v>45792</v>
      </c>
      <c r="O4" s="1">
        <v>46677</v>
      </c>
      <c r="P4" s="1">
        <v>46055</v>
      </c>
      <c r="Q4" s="1">
        <v>45640</v>
      </c>
      <c r="R4" s="1">
        <v>47637</v>
      </c>
      <c r="S4" s="1">
        <v>47002</v>
      </c>
      <c r="T4" s="1">
        <v>0</v>
      </c>
      <c r="U4" s="1">
        <v>55093</v>
      </c>
      <c r="V4" s="3">
        <v>46538.3333333333</v>
      </c>
      <c r="W4" s="1">
        <v>0.0739517873326236</v>
      </c>
      <c r="X4" s="1">
        <v>0.0729342337244356</v>
      </c>
      <c r="Y4" s="1">
        <v>0.0666854176535453</v>
      </c>
      <c r="Z4" s="1">
        <v>0.0850749231767088</v>
      </c>
      <c r="AA4" s="1">
        <v>0.0858138866419578</v>
      </c>
      <c r="AB4" s="1">
        <v>0.0621048559355533</v>
      </c>
      <c r="AC4" s="1">
        <v>0.070878409027239</v>
      </c>
      <c r="AD4" s="1">
        <v>0.0658039553694561</v>
      </c>
      <c r="AE4" s="1">
        <v>0.0733727030307736</v>
      </c>
      <c r="AF4" s="1">
        <v>0.0864867644599004</v>
      </c>
      <c r="AG4" s="1">
        <v>0.0696828855475362</v>
      </c>
      <c r="AH4" s="1">
        <v>0.0635807170204137</v>
      </c>
      <c r="AI4" s="1">
        <v>0.0803068097394888</v>
      </c>
      <c r="AJ4" s="1">
        <v>0.0719934862991792</v>
      </c>
      <c r="AK4" s="1">
        <v>0.0778196351792158</v>
      </c>
      <c r="AL4" s="1">
        <v>0.0817507860729941</v>
      </c>
      <c r="AM4" s="1">
        <v>0.0631520183885784</v>
      </c>
      <c r="AN4" s="1">
        <v>0.0689800836603959</v>
      </c>
      <c r="AO4" s="3">
        <v>0.0733540754588886</v>
      </c>
      <c r="AP4" s="1">
        <v>0.00794326709783626</v>
      </c>
    </row>
    <row r="5" s="1" customFormat="1" spans="1:42">
      <c r="A5" s="1">
        <v>1.5</v>
      </c>
      <c r="B5" s="1">
        <v>46335</v>
      </c>
      <c r="C5" s="1">
        <v>45068</v>
      </c>
      <c r="D5" s="1">
        <v>45845</v>
      </c>
      <c r="E5" s="1">
        <v>44599</v>
      </c>
      <c r="F5" s="1">
        <v>45373</v>
      </c>
      <c r="G5" s="1">
        <v>46083</v>
      </c>
      <c r="H5" s="1">
        <v>44059</v>
      </c>
      <c r="I5" s="1">
        <v>43788</v>
      </c>
      <c r="J5" s="1">
        <v>44391</v>
      </c>
      <c r="K5" s="1">
        <v>44532</v>
      </c>
      <c r="L5" s="1">
        <v>46727</v>
      </c>
      <c r="M5" s="1">
        <v>46006</v>
      </c>
      <c r="N5" s="1">
        <v>44039</v>
      </c>
      <c r="O5" s="1">
        <v>45118</v>
      </c>
      <c r="P5" s="1">
        <v>45122</v>
      </c>
      <c r="Q5" s="1">
        <v>43932</v>
      </c>
      <c r="R5" s="1">
        <v>45046</v>
      </c>
      <c r="S5" s="1">
        <v>44252</v>
      </c>
      <c r="T5" s="1">
        <v>0.176091259055681</v>
      </c>
      <c r="U5" s="1">
        <v>55093</v>
      </c>
      <c r="V5" s="3">
        <v>45017.5</v>
      </c>
      <c r="W5" s="1">
        <v>0.0751872544620393</v>
      </c>
      <c r="X5" s="1">
        <v>0.0872281361741172</v>
      </c>
      <c r="Y5" s="1">
        <v>0.0798044447535679</v>
      </c>
      <c r="Z5" s="1">
        <v>0.0917713007606335</v>
      </c>
      <c r="AA5" s="1">
        <v>0.0842989266533896</v>
      </c>
      <c r="AB5" s="1">
        <v>0.0775556779440333</v>
      </c>
      <c r="AC5" s="1">
        <v>0.097061786004205</v>
      </c>
      <c r="AD5" s="1">
        <v>0.099741312406898</v>
      </c>
      <c r="AE5" s="1">
        <v>0.0938014932932374</v>
      </c>
      <c r="AF5" s="1">
        <v>0.0924242214227632</v>
      </c>
      <c r="AG5" s="1">
        <v>0.0715285227822137</v>
      </c>
      <c r="AH5" s="1">
        <v>0.0782819467253172</v>
      </c>
      <c r="AI5" s="1">
        <v>0.0972589729956754</v>
      </c>
      <c r="AJ5" s="1">
        <v>0.0867465819124805</v>
      </c>
      <c r="AK5" s="1">
        <v>0.0867080806285986</v>
      </c>
      <c r="AL5" s="1">
        <v>0.0983154468900153</v>
      </c>
      <c r="AM5" s="1">
        <v>0.0874401893243867</v>
      </c>
      <c r="AN5" s="1">
        <v>0.0951635180997841</v>
      </c>
      <c r="AO5" s="3">
        <v>0.0877954340685198</v>
      </c>
      <c r="AP5" s="1">
        <v>0.0085891268316262</v>
      </c>
    </row>
    <row r="6" s="1" customFormat="1" spans="1:42">
      <c r="A6" s="1">
        <v>2</v>
      </c>
      <c r="B6" s="1">
        <v>45221</v>
      </c>
      <c r="C6" s="1">
        <v>44061</v>
      </c>
      <c r="D6" s="1">
        <v>43600</v>
      </c>
      <c r="E6" s="1">
        <v>43607</v>
      </c>
      <c r="F6" s="1">
        <v>45829</v>
      </c>
      <c r="G6" s="1">
        <v>44182</v>
      </c>
      <c r="H6" s="1">
        <v>45163</v>
      </c>
      <c r="I6" s="1">
        <v>43434</v>
      </c>
      <c r="J6" s="1">
        <v>45042</v>
      </c>
      <c r="K6" s="1">
        <v>43622</v>
      </c>
      <c r="L6" s="1">
        <v>45464</v>
      </c>
      <c r="M6" s="1">
        <v>44955</v>
      </c>
      <c r="N6" s="1">
        <v>42827</v>
      </c>
      <c r="O6" s="1">
        <v>42819</v>
      </c>
      <c r="P6" s="1">
        <v>44588</v>
      </c>
      <c r="Q6" s="1">
        <v>43657</v>
      </c>
      <c r="R6" s="1">
        <v>42162</v>
      </c>
      <c r="S6" s="1">
        <v>43060</v>
      </c>
      <c r="T6" s="1">
        <v>0.301029995663981</v>
      </c>
      <c r="U6" s="1">
        <v>55093</v>
      </c>
      <c r="V6" s="3">
        <v>44071.8333333333</v>
      </c>
      <c r="W6" s="1">
        <v>0.0857562598805964</v>
      </c>
      <c r="X6" s="1">
        <v>0.0970420722283549</v>
      </c>
      <c r="Y6" s="1">
        <v>0.101609932550585</v>
      </c>
      <c r="Z6" s="1">
        <v>0.101540211968984</v>
      </c>
      <c r="AA6" s="1">
        <v>0.0799560408829177</v>
      </c>
      <c r="AB6" s="1">
        <v>0.09585105049869</v>
      </c>
      <c r="AC6" s="1">
        <v>0.0863136391381619</v>
      </c>
      <c r="AD6" s="1">
        <v>0.103266594807079</v>
      </c>
      <c r="AE6" s="1">
        <v>0.0874787555691419</v>
      </c>
      <c r="AF6" s="1">
        <v>0.101390848401988</v>
      </c>
      <c r="AG6" s="1">
        <v>0.0834287787824972</v>
      </c>
      <c r="AH6" s="1">
        <v>0.0883184198178451</v>
      </c>
      <c r="AI6" s="1">
        <v>0.109378768367679</v>
      </c>
      <c r="AJ6" s="1">
        <v>0.109459901307112</v>
      </c>
      <c r="AK6" s="1">
        <v>0.0918784293628997</v>
      </c>
      <c r="AL6" s="1">
        <v>0.101042533052788</v>
      </c>
      <c r="AM6" s="1">
        <v>0.116175217898309</v>
      </c>
      <c r="AN6" s="1">
        <v>0.107022396331703</v>
      </c>
      <c r="AO6" s="3">
        <v>0.0970505472692961</v>
      </c>
      <c r="AP6" s="1">
        <v>0.0102962076440224</v>
      </c>
    </row>
    <row r="7" s="1" customFormat="1" spans="1:42">
      <c r="A7" s="1">
        <v>2.5</v>
      </c>
      <c r="B7" s="1">
        <v>44000</v>
      </c>
      <c r="C7" s="1">
        <v>42921</v>
      </c>
      <c r="D7" s="1">
        <v>43915</v>
      </c>
      <c r="E7" s="1">
        <v>42827</v>
      </c>
      <c r="F7" s="1">
        <v>44172</v>
      </c>
      <c r="G7" s="1">
        <v>43876</v>
      </c>
      <c r="H7" s="1">
        <v>39004</v>
      </c>
      <c r="I7" s="1">
        <v>42806</v>
      </c>
      <c r="J7" s="1">
        <v>43326</v>
      </c>
      <c r="K7" s="1">
        <v>41153</v>
      </c>
      <c r="L7" s="1">
        <v>40836</v>
      </c>
      <c r="M7" s="1">
        <v>40234</v>
      </c>
      <c r="N7" s="1">
        <v>40844</v>
      </c>
      <c r="O7" s="1">
        <v>41176</v>
      </c>
      <c r="P7" s="1">
        <v>41058</v>
      </c>
      <c r="Q7" s="1">
        <v>41291</v>
      </c>
      <c r="R7" s="1">
        <v>36417</v>
      </c>
      <c r="S7" s="1">
        <v>39776</v>
      </c>
      <c r="T7" s="1">
        <v>0.397940008672038</v>
      </c>
      <c r="U7" s="1">
        <v>55093</v>
      </c>
      <c r="V7" s="3">
        <v>41646.2222222222</v>
      </c>
      <c r="W7" s="1">
        <v>0.0976437453329837</v>
      </c>
      <c r="X7" s="1">
        <v>0.108426589945979</v>
      </c>
      <c r="Y7" s="1">
        <v>0.0984835347310234</v>
      </c>
      <c r="Z7" s="1">
        <v>0.109378768367679</v>
      </c>
      <c r="AA7" s="1">
        <v>0.0959493583248796</v>
      </c>
      <c r="AB7" s="1">
        <v>0.0988693940083618</v>
      </c>
      <c r="AC7" s="1">
        <v>0.149987274052989</v>
      </c>
      <c r="AD7" s="1">
        <v>0.109591774669053</v>
      </c>
      <c r="AE7" s="1">
        <v>0.104347826440835</v>
      </c>
      <c r="AF7" s="1">
        <v>0.126694921615833</v>
      </c>
      <c r="AG7" s="1">
        <v>0.130053226675737</v>
      </c>
      <c r="AH7" s="1">
        <v>0.136503210237942</v>
      </c>
      <c r="AI7" s="1">
        <v>0.12996815429899</v>
      </c>
      <c r="AJ7" s="1">
        <v>0.126452266577058</v>
      </c>
      <c r="AK7" s="1">
        <v>0.127698631439217</v>
      </c>
      <c r="AL7" s="1">
        <v>0.125241020920179</v>
      </c>
      <c r="AM7" s="1">
        <v>0.179792255679035</v>
      </c>
      <c r="AN7" s="1">
        <v>0.14147531485762</v>
      </c>
      <c r="AO7" s="3">
        <v>0.122030959343077</v>
      </c>
      <c r="AP7" s="1">
        <v>0.0218215273850986</v>
      </c>
    </row>
    <row r="8" s="1" customFormat="1" spans="1:42">
      <c r="A8" s="1">
        <v>3</v>
      </c>
      <c r="B8" s="1">
        <v>40872</v>
      </c>
      <c r="C8" s="1">
        <v>41618</v>
      </c>
      <c r="D8" s="1">
        <v>41202</v>
      </c>
      <c r="E8" s="1">
        <v>40617</v>
      </c>
      <c r="F8" s="1">
        <v>42574</v>
      </c>
      <c r="G8" s="1">
        <v>40534</v>
      </c>
      <c r="H8" s="1">
        <v>43486</v>
      </c>
      <c r="I8" s="1">
        <v>41237</v>
      </c>
      <c r="J8" s="1">
        <v>42597</v>
      </c>
      <c r="K8" s="1">
        <v>39241</v>
      </c>
      <c r="L8" s="1">
        <v>43882</v>
      </c>
      <c r="M8" s="1">
        <v>40630</v>
      </c>
      <c r="N8" s="1">
        <v>40560</v>
      </c>
      <c r="O8" s="1">
        <v>40337</v>
      </c>
      <c r="P8" s="1">
        <v>42090</v>
      </c>
      <c r="Q8" s="1">
        <v>39200</v>
      </c>
      <c r="R8" s="1">
        <v>42743</v>
      </c>
      <c r="S8" s="1">
        <v>40516</v>
      </c>
      <c r="T8" s="1">
        <v>0.477121254719662</v>
      </c>
      <c r="U8" s="1">
        <v>55093</v>
      </c>
      <c r="V8" s="3">
        <v>41329.7777777778</v>
      </c>
      <c r="W8" s="1">
        <v>0.129670532144964</v>
      </c>
      <c r="X8" s="1">
        <v>0.12181521595399</v>
      </c>
      <c r="Y8" s="1">
        <v>0.126178124041322</v>
      </c>
      <c r="Z8" s="1">
        <v>0.132388578859701</v>
      </c>
      <c r="AA8" s="1">
        <v>0.111951965996801</v>
      </c>
      <c r="AB8" s="1">
        <v>0.133276958659512</v>
      </c>
      <c r="AC8" s="1">
        <v>0.102746960298262</v>
      </c>
      <c r="AD8" s="1">
        <v>0.125809359068921</v>
      </c>
      <c r="AE8" s="1">
        <v>0.111717407911852</v>
      </c>
      <c r="AF8" s="1">
        <v>0.147356355604936</v>
      </c>
      <c r="AG8" s="1">
        <v>0.0988100087239324</v>
      </c>
      <c r="AH8" s="1">
        <v>0.132249599492759</v>
      </c>
      <c r="AI8" s="1">
        <v>0.132998475493892</v>
      </c>
      <c r="AJ8" s="1">
        <v>0.135392826700343</v>
      </c>
      <c r="AK8" s="1">
        <v>0.116917496071149</v>
      </c>
      <c r="AL8" s="1">
        <v>0.147810354798714</v>
      </c>
      <c r="AM8" s="1">
        <v>0.11023142112444</v>
      </c>
      <c r="AN8" s="1">
        <v>0.133469859357914</v>
      </c>
      <c r="AO8" s="3">
        <v>0.125043972239078</v>
      </c>
      <c r="AP8" s="1">
        <v>0.0139002630964273</v>
      </c>
    </row>
    <row r="9" s="1" customFormat="1" spans="1:42">
      <c r="A9" s="1">
        <v>3.5</v>
      </c>
      <c r="B9" s="1">
        <v>40704</v>
      </c>
      <c r="C9" s="1">
        <v>44288</v>
      </c>
      <c r="D9" s="1">
        <v>41064</v>
      </c>
      <c r="E9" s="1">
        <v>40108</v>
      </c>
      <c r="F9" s="1">
        <v>40882</v>
      </c>
      <c r="G9" s="1">
        <v>40234</v>
      </c>
      <c r="H9" s="1">
        <v>40456</v>
      </c>
      <c r="I9" s="1">
        <v>40392</v>
      </c>
      <c r="J9" s="1">
        <v>41813</v>
      </c>
      <c r="K9" s="1">
        <v>40057</v>
      </c>
      <c r="L9" s="1">
        <v>38554</v>
      </c>
      <c r="M9" s="1">
        <v>40684</v>
      </c>
      <c r="N9" s="1">
        <v>40744</v>
      </c>
      <c r="O9" s="1">
        <v>40416</v>
      </c>
      <c r="P9" s="1">
        <v>37923</v>
      </c>
      <c r="Q9" s="1">
        <v>41428</v>
      </c>
      <c r="R9" s="1">
        <v>42101</v>
      </c>
      <c r="S9" s="1">
        <v>42824</v>
      </c>
      <c r="T9" s="1">
        <v>0.544068044350276</v>
      </c>
      <c r="U9" s="1">
        <v>55093</v>
      </c>
      <c r="V9" s="3">
        <v>40815.1111111111</v>
      </c>
      <c r="W9" s="1">
        <v>0.13145933218687</v>
      </c>
      <c r="X9" s="1">
        <v>0.0948103533785262</v>
      </c>
      <c r="Y9" s="1">
        <v>0.127635170566465</v>
      </c>
      <c r="Z9" s="1">
        <v>0.137865415549808</v>
      </c>
      <c r="AA9" s="1">
        <v>0.129564287928395</v>
      </c>
      <c r="AB9" s="1">
        <v>0.136503210237942</v>
      </c>
      <c r="AC9" s="1">
        <v>0.134113481194683</v>
      </c>
      <c r="AD9" s="1">
        <v>0.134801064131741</v>
      </c>
      <c r="AE9" s="1">
        <v>0.119785093381291</v>
      </c>
      <c r="AF9" s="1">
        <v>0.138418001380663</v>
      </c>
      <c r="AG9" s="1">
        <v>0.15502697878867</v>
      </c>
      <c r="AH9" s="1">
        <v>0.13167277617893</v>
      </c>
      <c r="AI9" s="1">
        <v>0.131032758651049</v>
      </c>
      <c r="AJ9" s="1">
        <v>0.134543092943934</v>
      </c>
      <c r="AK9" s="1">
        <v>0.162193735771541</v>
      </c>
      <c r="AL9" s="1">
        <v>0.1238024542445</v>
      </c>
      <c r="AM9" s="1">
        <v>0.116804010322598</v>
      </c>
      <c r="AN9" s="1">
        <v>0.109409191443796</v>
      </c>
      <c r="AO9" s="3">
        <v>0.130524467126745</v>
      </c>
      <c r="AP9" s="1">
        <v>0.0151160653561111</v>
      </c>
    </row>
    <row r="10" s="1" customFormat="1" spans="1:42">
      <c r="A10" s="1">
        <v>4</v>
      </c>
      <c r="B10" s="1">
        <v>42431</v>
      </c>
      <c r="C10" s="1">
        <v>40864</v>
      </c>
      <c r="D10" s="1">
        <v>39019</v>
      </c>
      <c r="E10" s="1">
        <v>37580</v>
      </c>
      <c r="F10" s="1">
        <v>36138</v>
      </c>
      <c r="G10" s="1">
        <v>39014</v>
      </c>
      <c r="H10" s="1">
        <v>36128</v>
      </c>
      <c r="I10" s="1">
        <v>37777</v>
      </c>
      <c r="J10" s="1">
        <v>39473</v>
      </c>
      <c r="K10" s="1">
        <v>39203</v>
      </c>
      <c r="L10" s="1">
        <v>38543</v>
      </c>
      <c r="M10" s="1">
        <v>40087</v>
      </c>
      <c r="N10" s="1">
        <v>37064</v>
      </c>
      <c r="O10" s="1">
        <v>39491</v>
      </c>
      <c r="P10" s="1">
        <v>42258</v>
      </c>
      <c r="Q10" s="1">
        <v>39303</v>
      </c>
      <c r="R10" s="1">
        <v>41003</v>
      </c>
      <c r="S10" s="1">
        <v>38526</v>
      </c>
      <c r="T10" s="1">
        <v>0.602059991327962</v>
      </c>
      <c r="U10" s="1">
        <v>55093</v>
      </c>
      <c r="V10" s="3">
        <v>39105.6666666667</v>
      </c>
      <c r="W10" s="1">
        <v>0.113413154620922</v>
      </c>
      <c r="X10" s="1">
        <v>0.12975554623585</v>
      </c>
      <c r="Y10" s="1">
        <v>0.149820286951523</v>
      </c>
      <c r="Z10" s="1">
        <v>0.166139646054664</v>
      </c>
      <c r="AA10" s="1">
        <v>0.183132308264947</v>
      </c>
      <c r="AB10" s="1">
        <v>0.149875942184886</v>
      </c>
      <c r="AC10" s="1">
        <v>0.183252501574297</v>
      </c>
      <c r="AD10" s="1">
        <v>0.163868955665266</v>
      </c>
      <c r="AE10" s="1">
        <v>0.144796287216561</v>
      </c>
      <c r="AF10" s="1">
        <v>0.147777119247872</v>
      </c>
      <c r="AG10" s="1">
        <v>0.155150906810081</v>
      </c>
      <c r="AH10" s="1">
        <v>0.13809286574816</v>
      </c>
      <c r="AI10" s="1">
        <v>0.172144134624072</v>
      </c>
      <c r="AJ10" s="1">
        <v>0.144598290640662</v>
      </c>
      <c r="AK10" s="1">
        <v>0.115187483043196</v>
      </c>
      <c r="AL10" s="1">
        <v>0.146670720458506</v>
      </c>
      <c r="AM10" s="1">
        <v>0.128280788616958</v>
      </c>
      <c r="AN10" s="1">
        <v>0.155342501519033</v>
      </c>
      <c r="AO10" s="3">
        <v>0.149294413304303</v>
      </c>
      <c r="AP10" s="1">
        <v>0.0200572282718173</v>
      </c>
    </row>
    <row r="11" s="1" customFormat="1" spans="1:42">
      <c r="A11" s="1">
        <v>4.5</v>
      </c>
      <c r="B11" s="1">
        <v>39785</v>
      </c>
      <c r="C11" s="1">
        <v>40435</v>
      </c>
      <c r="D11" s="1">
        <v>39015</v>
      </c>
      <c r="E11" s="1">
        <v>38904</v>
      </c>
      <c r="F11" s="1">
        <v>40058</v>
      </c>
      <c r="G11" s="1">
        <v>40545</v>
      </c>
      <c r="H11" s="1">
        <v>39228</v>
      </c>
      <c r="I11" s="1">
        <v>39661</v>
      </c>
      <c r="J11" s="1">
        <v>41453</v>
      </c>
      <c r="K11" s="1">
        <v>39569</v>
      </c>
      <c r="L11" s="1">
        <v>41567</v>
      </c>
      <c r="M11" s="1">
        <v>40770</v>
      </c>
      <c r="N11" s="1">
        <v>37245</v>
      </c>
      <c r="O11" s="1">
        <v>37715</v>
      </c>
      <c r="P11" s="1">
        <v>37714</v>
      </c>
      <c r="Q11" s="1">
        <v>41423</v>
      </c>
      <c r="R11" s="1">
        <v>40458</v>
      </c>
      <c r="S11" s="1">
        <v>40434</v>
      </c>
      <c r="T11" s="1">
        <v>0.653212513775344</v>
      </c>
      <c r="U11" s="1">
        <v>55093</v>
      </c>
      <c r="V11" s="3">
        <v>39776.6111111111</v>
      </c>
      <c r="W11" s="1">
        <v>0.141377059422073</v>
      </c>
      <c r="X11" s="1">
        <v>0.134338974372536</v>
      </c>
      <c r="Y11" s="1">
        <v>0.149864810567617</v>
      </c>
      <c r="Z11" s="1">
        <v>0.15110216525905</v>
      </c>
      <c r="AA11" s="1">
        <v>0.138407159603669</v>
      </c>
      <c r="AB11" s="1">
        <v>0.133159117064764</v>
      </c>
      <c r="AC11" s="1">
        <v>0.147500255191177</v>
      </c>
      <c r="AD11" s="1">
        <v>0.142732761647145</v>
      </c>
      <c r="AE11" s="1">
        <v>0.123540455417824</v>
      </c>
      <c r="AF11" s="1">
        <v>0.143741347038857</v>
      </c>
      <c r="AG11" s="1">
        <v>0.122347740359886</v>
      </c>
      <c r="AH11" s="1">
        <v>0.130755710367014</v>
      </c>
      <c r="AI11" s="1">
        <v>0.170028443208926</v>
      </c>
      <c r="AJ11" s="1">
        <v>0.164582309767208</v>
      </c>
      <c r="AK11" s="1">
        <v>0.164593825085771</v>
      </c>
      <c r="AL11" s="1">
        <v>0.123854872982045</v>
      </c>
      <c r="AM11" s="1">
        <v>0.134092011758887</v>
      </c>
      <c r="AN11" s="1">
        <v>0.134349715063825</v>
      </c>
      <c r="AO11" s="3">
        <v>0.141687151898793</v>
      </c>
      <c r="AP11" s="1">
        <v>0.0142181703065774</v>
      </c>
    </row>
    <row r="12" s="1" customFormat="1" spans="1:42">
      <c r="A12" s="1">
        <v>5.5</v>
      </c>
      <c r="B12" s="1">
        <v>39215</v>
      </c>
      <c r="C12" s="1">
        <v>40769</v>
      </c>
      <c r="D12" s="1">
        <v>35628</v>
      </c>
      <c r="E12" s="1">
        <v>37422</v>
      </c>
      <c r="F12" s="1">
        <v>37269</v>
      </c>
      <c r="G12" s="1">
        <v>39003</v>
      </c>
      <c r="H12" s="1">
        <v>38802</v>
      </c>
      <c r="I12" s="1">
        <v>42049</v>
      </c>
      <c r="J12" s="1">
        <v>38181</v>
      </c>
      <c r="K12" s="1">
        <v>39623</v>
      </c>
      <c r="L12" s="1">
        <v>36608</v>
      </c>
      <c r="M12" s="1">
        <v>38725</v>
      </c>
      <c r="N12" s="1">
        <v>39418</v>
      </c>
      <c r="O12" s="1">
        <v>39606</v>
      </c>
      <c r="P12" s="1">
        <v>39160</v>
      </c>
      <c r="Q12" s="1">
        <v>38062</v>
      </c>
      <c r="R12" s="1">
        <v>38886</v>
      </c>
      <c r="S12" s="1">
        <v>37414</v>
      </c>
      <c r="T12" s="1">
        <v>0.740362689494244</v>
      </c>
      <c r="U12" s="1">
        <v>55093</v>
      </c>
      <c r="V12" s="3">
        <v>38657.7777777778</v>
      </c>
      <c r="W12" s="1">
        <v>0.147644202473062</v>
      </c>
      <c r="X12" s="1">
        <v>0.130766362802829</v>
      </c>
      <c r="Y12" s="1">
        <v>0.189304978175502</v>
      </c>
      <c r="Z12" s="1">
        <v>0.167969427384396</v>
      </c>
      <c r="AA12" s="1">
        <v>0.169748681877468</v>
      </c>
      <c r="AB12" s="1">
        <v>0.149998408809662</v>
      </c>
      <c r="AC12" s="1">
        <v>0.152242310488411</v>
      </c>
      <c r="AD12" s="1">
        <v>0.117340749857559</v>
      </c>
      <c r="AE12" s="1">
        <v>0.159249122989534</v>
      </c>
      <c r="AF12" s="1">
        <v>0.14314906737279</v>
      </c>
      <c r="AG12" s="1">
        <v>0.17752041904226</v>
      </c>
      <c r="AH12" s="1">
        <v>0.153104995387927</v>
      </c>
      <c r="AI12" s="1">
        <v>0.145401836655015</v>
      </c>
      <c r="AJ12" s="1">
        <v>0.143335438683942</v>
      </c>
      <c r="AK12" s="1">
        <v>0.148253738688071</v>
      </c>
      <c r="AL12" s="1">
        <v>0.160604816897517</v>
      </c>
      <c r="AM12" s="1">
        <v>0.151303149982377</v>
      </c>
      <c r="AN12" s="1">
        <v>0.168062279911748</v>
      </c>
      <c r="AO12" s="3">
        <v>0.154166665971115</v>
      </c>
      <c r="AP12" s="1">
        <v>0.0168050072271942</v>
      </c>
    </row>
    <row r="13" s="1" customFormat="1" spans="1:42">
      <c r="A13" s="1">
        <v>6.5</v>
      </c>
      <c r="B13" s="1">
        <v>38889</v>
      </c>
      <c r="C13" s="1">
        <v>39275</v>
      </c>
      <c r="D13" s="1">
        <v>37249</v>
      </c>
      <c r="E13" s="1">
        <v>38095</v>
      </c>
      <c r="F13" s="1">
        <v>38560</v>
      </c>
      <c r="G13" s="1">
        <v>35356</v>
      </c>
      <c r="H13" s="1">
        <v>39468</v>
      </c>
      <c r="I13" s="1">
        <v>37786</v>
      </c>
      <c r="J13" s="1">
        <v>36198</v>
      </c>
      <c r="K13" s="1">
        <v>37918</v>
      </c>
      <c r="L13" s="1">
        <v>34320</v>
      </c>
      <c r="M13" s="1">
        <v>37593</v>
      </c>
      <c r="N13" s="1">
        <v>35597</v>
      </c>
      <c r="O13" s="1">
        <v>39060</v>
      </c>
      <c r="P13" s="1">
        <v>42139</v>
      </c>
      <c r="Q13" s="1">
        <v>39829</v>
      </c>
      <c r="R13" s="1">
        <v>39906</v>
      </c>
      <c r="S13" s="1">
        <v>35806</v>
      </c>
      <c r="T13" s="1">
        <v>0.812913356642856</v>
      </c>
      <c r="U13" s="1">
        <v>55093</v>
      </c>
      <c r="V13" s="3">
        <v>37946.8888888889</v>
      </c>
      <c r="W13" s="1">
        <v>0.151269646068616</v>
      </c>
      <c r="X13" s="1">
        <v>0.14698022810716</v>
      </c>
      <c r="Y13" s="1">
        <v>0.169981803803624</v>
      </c>
      <c r="Z13" s="1">
        <v>0.160228443910141</v>
      </c>
      <c r="AA13" s="1">
        <v>0.154959396588378</v>
      </c>
      <c r="AB13" s="1">
        <v>0.192633296592154</v>
      </c>
      <c r="AC13" s="1">
        <v>0.144851302288892</v>
      </c>
      <c r="AD13" s="1">
        <v>0.163765501584416</v>
      </c>
      <c r="AE13" s="1">
        <v>0.182411846119123</v>
      </c>
      <c r="AF13" s="1">
        <v>0.162250999584325</v>
      </c>
      <c r="AG13" s="1">
        <v>0.205549142642503</v>
      </c>
      <c r="AH13" s="1">
        <v>0.165989437114725</v>
      </c>
      <c r="AI13" s="1">
        <v>0.189683023238025</v>
      </c>
      <c r="AJ13" s="1">
        <v>0.149364182867335</v>
      </c>
      <c r="AK13" s="1">
        <v>0.116412196660877</v>
      </c>
      <c r="AL13" s="1">
        <v>0.140897019249508</v>
      </c>
      <c r="AM13" s="1">
        <v>0.140058223601377</v>
      </c>
      <c r="AN13" s="1">
        <v>0.18714061448939</v>
      </c>
      <c r="AO13" s="3">
        <v>0.162468128028365</v>
      </c>
      <c r="AP13" s="1">
        <v>0.0224670216448259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 minutes</vt:lpstr>
      <vt:lpstr>-30 min</vt:lpstr>
      <vt:lpstr>45 min</vt:lpstr>
      <vt:lpstr>45 minute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Anjali Krishna</cp:lastModifiedBy>
  <dcterms:created xsi:type="dcterms:W3CDTF">2026-04-30T03:33:00Z</dcterms:created>
  <dcterms:modified xsi:type="dcterms:W3CDTF">2026-05-01T07:01:33Z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F8C9EF202CA2431C9A846303B7D3135E_13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